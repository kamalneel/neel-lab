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Scenario 1 - After-Tax $500K" sheetId="2" r:id="rId5"/>
    <sheet state="visible" name="Scenario 2 - LOC $500K" sheetId="3" r:id="rId6"/>
    <sheet state="visible" name="10-Year Milestones" sheetId="4" r:id="rId7"/>
    <sheet state="visible" name="Sell Options" sheetId="5" r:id="rId8"/>
  </sheets>
  <definedNames>
    <definedName hidden="1" localSheetId="4" name="_xlnm._FilterDatabase">'Sell Options'!$A$2:$I$16</definedName>
  </definedNames>
  <calcPr/>
</workbook>
</file>

<file path=xl/sharedStrings.xml><?xml version="1.0" encoding="utf-8"?>
<sst xmlns="http://schemas.openxmlformats.org/spreadsheetml/2006/main" count="93" uniqueCount="75">
  <si>
    <t>Agrawal Family Financial Scenario Planning</t>
  </si>
  <si>
    <t>Key Assumptions</t>
  </si>
  <si>
    <t>Initial Capital ($)</t>
  </si>
  <si>
    <t>Initial Cost Basis ($)</t>
  </si>
  <si>
    <t>Initial Cost Basis Ratio (%)</t>
  </si>
  <si>
    <t>After-Tax Take-Home Needed ($)</t>
  </si>
  <si>
    <t>Investment Return (%)</t>
  </si>
  <si>
    <t>Line of Credit Interest Rate (%)</t>
  </si>
  <si>
    <t>LOC to Equity Ratio (%)</t>
  </si>
  <si>
    <t>Starting Age</t>
  </si>
  <si>
    <t>Ending Age</t>
  </si>
  <si>
    <t>Planning Horizon (Years)</t>
  </si>
  <si>
    <t>Tax Rates (Married Filing Jointly)</t>
  </si>
  <si>
    <t>Federal LTCG Tax Rate (%)</t>
  </si>
  <si>
    <t>Federal NIIT Tax Rate (%)</t>
  </si>
  <si>
    <t>CA Marginal Tax Rate (%)</t>
  </si>
  <si>
    <t>Combined Tax Rate on Gains (%)</t>
  </si>
  <si>
    <t>Note: LOC interest is NOT tax deductible</t>
  </si>
  <si>
    <t>Scenario 1: Withdraw Enough to Net $500K After-Tax</t>
  </si>
  <si>
    <t>Year</t>
  </si>
  <si>
    <t>Age</t>
  </si>
  <si>
    <t>Beginning Balance ($)</t>
  </si>
  <si>
    <t>Cost Basis ($)</t>
  </si>
  <si>
    <t>Cost Basis Ratio (%)</t>
  </si>
  <si>
    <t>Gross Withdrawal ($)</t>
  </si>
  <si>
    <t>Return of Basis ($)</t>
  </si>
  <si>
    <t>Capital Gain ($)</t>
  </si>
  <si>
    <t>Tax on Gain ($)</t>
  </si>
  <si>
    <t>After-Tax Take-Home ($)</t>
  </si>
  <si>
    <t>Investment Return ($)</t>
  </si>
  <si>
    <t>Ending Balance ($)</t>
  </si>
  <si>
    <t>Scenario 2: Borrow $500K/year from LOC</t>
  </si>
  <si>
    <t>Beginning Equity ($)</t>
  </si>
  <si>
    <t>Ending Equity ($)</t>
  </si>
  <si>
    <t>Expenses Drawn ($)</t>
  </si>
  <si>
    <t>LOC Balance ($)</t>
  </si>
  <si>
    <t>LOC Interest ($)</t>
  </si>
  <si>
    <t>Available LOC ($)</t>
  </si>
  <si>
    <t>LOC Capacity ($)</t>
  </si>
  <si>
    <t>10-Year Milestones (Both Net $500K After-Tax)</t>
  </si>
  <si>
    <t>S1: Balance ($)</t>
  </si>
  <si>
    <t>S1: Gross Withdrawal ($)</t>
  </si>
  <si>
    <t>S1: Tax ($)</t>
  </si>
  <si>
    <t>S2: Equity ($)</t>
  </si>
  <si>
    <t>S2: LOC Balance ($)</t>
  </si>
  <si>
    <t>S2: LOC Interest ($)</t>
  </si>
  <si>
    <t>S2: Net Worth ($)</t>
  </si>
  <si>
    <t>Difference ($)</t>
  </si>
  <si>
    <t>Neel's Portfolio</t>
  </si>
  <si>
    <t>Equity</t>
  </si>
  <si>
    <t>Per week avg bid price at 90% chance of profit</t>
  </si>
  <si>
    <t>Per contract per week</t>
  </si>
  <si>
    <t>Portfolio</t>
  </si>
  <si>
    <t>Total Weekly Earnings</t>
  </si>
  <si>
    <t>Unit Price in Nov</t>
  </si>
  <si>
    <t>Capital at play</t>
  </si>
  <si>
    <t>Weekly %age Return</t>
  </si>
  <si>
    <t>Annual %age Return</t>
  </si>
  <si>
    <t>VOO</t>
  </si>
  <si>
    <t>NETFLIX</t>
  </si>
  <si>
    <t>HOOD</t>
  </si>
  <si>
    <t>TSLA</t>
  </si>
  <si>
    <t>PLTR</t>
  </si>
  <si>
    <t>BABA</t>
  </si>
  <si>
    <t>NVDA</t>
  </si>
  <si>
    <t>IBIT</t>
  </si>
  <si>
    <t>AVGO</t>
  </si>
  <si>
    <t>META</t>
  </si>
  <si>
    <t>MSFT</t>
  </si>
  <si>
    <t>AAPLE</t>
  </si>
  <si>
    <t>GLD</t>
  </si>
  <si>
    <t>FIG</t>
  </si>
  <si>
    <t>TOTAL</t>
  </si>
  <si>
    <t>Jaya's Portfolio</t>
  </si>
  <si>
    <t>COIN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</si>
</sst>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"/>
    <numFmt numFmtId="165" formatCode="0.0%"/>
    <numFmt numFmtId="166" formatCode="&quot;$&quot;#,##0.00"/>
    <numFmt numFmtId="167" formatCode="&quot;$&quot;#,##0"/>
  </numFmts>
  <fonts count="10">
    <font>
      <sz val="11.0"/>
      <color theme="1"/>
      <name val="Calibri"/>
      <scheme val="minor"/>
    </font>
    <font>
      <b/>
      <sz val="14.0"/>
      <color theme="1"/>
      <name val="Lexend"/>
    </font>
    <font>
      <color theme="1"/>
      <name val="Lexend"/>
    </font>
    <font>
      <b/>
      <sz val="12.0"/>
      <color theme="1"/>
      <name val="Lexend"/>
    </font>
    <font>
      <sz val="11.0"/>
      <color rgb="FF0000FF"/>
      <name val="Lexend"/>
    </font>
    <font>
      <sz val="11.0"/>
      <color theme="1"/>
      <name val="Lexend"/>
    </font>
    <font>
      <i/>
      <sz val="11.0"/>
      <color rgb="FFFF0000"/>
      <name val="Lexend"/>
    </font>
    <font>
      <b/>
      <sz val="11.0"/>
      <color theme="1"/>
      <name val="Lexend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horizontal="center" shrinkToFit="0" vertical="bottom" wrapText="1"/>
    </xf>
    <xf borderId="1" fillId="3" fontId="5" numFmtId="0" xfId="0" applyAlignment="1" applyBorder="1" applyFill="1" applyFont="1">
      <alignment shrinkToFit="0" vertical="bottom" wrapText="0"/>
    </xf>
    <xf borderId="1" fillId="3" fontId="5" numFmtId="164" xfId="0" applyAlignment="1" applyBorder="1" applyFont="1" applyNumberFormat="1">
      <alignment shrinkToFit="0" vertical="bottom" wrapText="0"/>
    </xf>
    <xf borderId="1" fillId="3" fontId="5" numFmtId="10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0" xfId="0" applyAlignment="1" applyFont="1" applyNumberFormat="1">
      <alignment shrinkToFit="0" vertical="bottom" wrapText="0"/>
    </xf>
    <xf borderId="0" fillId="0" fontId="2" numFmtId="164" xfId="0" applyFont="1" applyNumberFormat="1"/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0" fillId="0" fontId="9" numFmtId="167" xfId="0" applyFont="1" applyNumberFormat="1"/>
    <xf borderId="0" fillId="0" fontId="9" numFmtId="167" xfId="0" applyAlignment="1" applyFont="1" applyNumberFormat="1">
      <alignment readingOrder="0"/>
    </xf>
    <xf borderId="0" fillId="0" fontId="9" numFmtId="10" xfId="0" applyFont="1" applyNumberFormat="1"/>
    <xf borderId="0" fillId="3" fontId="8" numFmtId="0" xfId="0" applyAlignment="1" applyFont="1">
      <alignment readingOrder="0"/>
    </xf>
    <xf borderId="0" fillId="3" fontId="8" numFmtId="0" xfId="0" applyFont="1"/>
    <xf borderId="0" fillId="3" fontId="8" numFmtId="167" xfId="0" applyFont="1" applyNumberFormat="1"/>
    <xf borderId="0" fillId="3" fontId="8" numFmtId="10" xfId="0" applyFont="1" applyNumberFormat="1"/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</v>
      </c>
      <c r="B5" s="4">
        <v>1700000.0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</v>
      </c>
      <c r="B6" s="4">
        <v>500000.0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</v>
      </c>
      <c r="B7" s="5">
        <f>B6/B5</f>
        <v>0.2941176471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</v>
      </c>
      <c r="B9" s="4">
        <v>240000.0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</v>
      </c>
      <c r="B11" s="6">
        <v>0.09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</v>
      </c>
      <c r="B12" s="7">
        <v>0.05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</v>
      </c>
      <c r="B13" s="6">
        <v>0.7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</v>
      </c>
      <c r="B15" s="8">
        <v>40.0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10</v>
      </c>
      <c r="B16" s="8">
        <v>100.0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11</v>
      </c>
      <c r="B18" s="2">
        <f>B16-B15</f>
        <v>60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13</v>
      </c>
      <c r="B21" s="6">
        <v>0.16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14</v>
      </c>
      <c r="B22" s="9">
        <v>0.038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15</v>
      </c>
      <c r="B23" s="6">
        <v>0.07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16</v>
      </c>
      <c r="B24" s="5">
        <f>B21+B22+B23</f>
        <v>0.268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6.29"/>
    <col customWidth="1" min="3" max="12" width="20.0"/>
    <col customWidth="1" min="13" max="26" width="8.71"/>
  </cols>
  <sheetData>
    <row r="1">
      <c r="A1" s="3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19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11" t="s">
        <v>26</v>
      </c>
      <c r="I4" s="11" t="s">
        <v>27</v>
      </c>
      <c r="J4" s="11" t="s">
        <v>28</v>
      </c>
      <c r="K4" s="11" t="s">
        <v>29</v>
      </c>
      <c r="L4" s="11" t="s">
        <v>30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>
        <v>1.0</v>
      </c>
      <c r="B5" s="12">
        <v>40.0</v>
      </c>
      <c r="C5" s="13">
        <f>Assumptions!$B$5</f>
        <v>1700000</v>
      </c>
      <c r="D5" s="13">
        <f>Assumptions!$B$6</f>
        <v>500000</v>
      </c>
      <c r="E5" s="14">
        <f t="shared" ref="E5:E65" si="1">D5/C5</f>
        <v>0.2941176471</v>
      </c>
      <c r="F5" s="13">
        <f>Assumptions!$B$9/(1-(1-E5)*Assumptions!$B$24)</f>
        <v>295995.3569</v>
      </c>
      <c r="G5" s="13">
        <f t="shared" ref="G5:G65" si="2">F5*E5</f>
        <v>87057.45792</v>
      </c>
      <c r="H5" s="13">
        <f t="shared" ref="H5:H65" si="3">F5-G5</f>
        <v>208937.899</v>
      </c>
      <c r="I5" s="13">
        <f>H5*Assumptions!$B$24</f>
        <v>55995.35694</v>
      </c>
      <c r="J5" s="13">
        <f t="shared" ref="J5:J65" si="4">F5-I5</f>
        <v>240000</v>
      </c>
      <c r="K5" s="13">
        <f>C5*Assumptions!$B$11</f>
        <v>153000</v>
      </c>
      <c r="L5" s="13">
        <f t="shared" ref="L5:L65" si="5">C5+K5-F5</f>
        <v>1557004.643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2.0</v>
      </c>
      <c r="B6" s="2">
        <v>41.0</v>
      </c>
      <c r="C6" s="15">
        <f t="shared" ref="C6:C65" si="6">L5</f>
        <v>1557004.643</v>
      </c>
      <c r="D6" s="15">
        <f t="shared" ref="D6:D65" si="7">D5-G5</f>
        <v>412942.5421</v>
      </c>
      <c r="E6" s="16">
        <f t="shared" si="1"/>
        <v>0.2652159991</v>
      </c>
      <c r="F6" s="15">
        <f>Assumptions!$B$9/(1-(1-E6)*Assumptions!$B$24)</f>
        <v>298850.2157</v>
      </c>
      <c r="G6" s="15">
        <f t="shared" si="2"/>
        <v>79259.85856</v>
      </c>
      <c r="H6" s="15">
        <f t="shared" si="3"/>
        <v>219590.3572</v>
      </c>
      <c r="I6" s="15">
        <f>H6*Assumptions!$B$24</f>
        <v>58850.21572</v>
      </c>
      <c r="J6" s="15">
        <f t="shared" si="4"/>
        <v>240000</v>
      </c>
      <c r="K6" s="15">
        <f>C6*Assumptions!$B$11</f>
        <v>140130.4179</v>
      </c>
      <c r="L6" s="15">
        <f t="shared" si="5"/>
        <v>1398284.845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3.0</v>
      </c>
      <c r="B7" s="2">
        <v>42.0</v>
      </c>
      <c r="C7" s="15">
        <f t="shared" si="6"/>
        <v>1398284.845</v>
      </c>
      <c r="D7" s="15">
        <f t="shared" si="7"/>
        <v>333682.6835</v>
      </c>
      <c r="E7" s="16">
        <f t="shared" si="1"/>
        <v>0.2386371308</v>
      </c>
      <c r="F7" s="15">
        <f>Assumptions!$B$9/(1-(1-E7)*Assumptions!$B$24)</f>
        <v>301524.678</v>
      </c>
      <c r="G7" s="15">
        <f t="shared" si="2"/>
        <v>71954.98402</v>
      </c>
      <c r="H7" s="15">
        <f t="shared" si="3"/>
        <v>229569.694</v>
      </c>
      <c r="I7" s="15">
        <f>H7*Assumptions!$B$24</f>
        <v>61524.67798</v>
      </c>
      <c r="J7" s="15">
        <f t="shared" si="4"/>
        <v>240000</v>
      </c>
      <c r="K7" s="15">
        <f>C7*Assumptions!$B$11</f>
        <v>125845.6361</v>
      </c>
      <c r="L7" s="15">
        <f t="shared" si="5"/>
        <v>1222605.803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4.0</v>
      </c>
      <c r="B8" s="2">
        <v>43.0</v>
      </c>
      <c r="C8" s="15">
        <f t="shared" si="6"/>
        <v>1222605.803</v>
      </c>
      <c r="D8" s="15">
        <f t="shared" si="7"/>
        <v>261727.6995</v>
      </c>
      <c r="E8" s="16">
        <f t="shared" si="1"/>
        <v>0.2140736604</v>
      </c>
      <c r="F8" s="15">
        <f>Assumptions!$B$9/(1-(1-E8)*Assumptions!$B$24)</f>
        <v>304039.26</v>
      </c>
      <c r="G8" s="15">
        <f t="shared" si="2"/>
        <v>65086.79729</v>
      </c>
      <c r="H8" s="15">
        <f t="shared" si="3"/>
        <v>238952.4627</v>
      </c>
      <c r="I8" s="15">
        <f>H8*Assumptions!$B$24</f>
        <v>64039.26001</v>
      </c>
      <c r="J8" s="15">
        <f t="shared" si="4"/>
        <v>240000</v>
      </c>
      <c r="K8" s="15">
        <f>C8*Assumptions!$B$11</f>
        <v>110034.5223</v>
      </c>
      <c r="L8" s="15">
        <f t="shared" si="5"/>
        <v>1028601.066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5.0</v>
      </c>
      <c r="B9" s="2">
        <v>44.0</v>
      </c>
      <c r="C9" s="15">
        <f t="shared" si="6"/>
        <v>1028601.066</v>
      </c>
      <c r="D9" s="15">
        <f t="shared" si="7"/>
        <v>196640.9022</v>
      </c>
      <c r="E9" s="16">
        <f t="shared" si="1"/>
        <v>0.1911731465</v>
      </c>
      <c r="F9" s="15">
        <f>Assumptions!$B$9/(1-(1-E9)*Assumptions!$B$24)</f>
        <v>306421.6779</v>
      </c>
      <c r="G9" s="15">
        <f t="shared" si="2"/>
        <v>58579.59631</v>
      </c>
      <c r="H9" s="15">
        <f t="shared" si="3"/>
        <v>247842.0815</v>
      </c>
      <c r="I9" s="15">
        <f>H9*Assumptions!$B$24</f>
        <v>66421.67785</v>
      </c>
      <c r="J9" s="15">
        <f t="shared" si="4"/>
        <v>240000</v>
      </c>
      <c r="K9" s="15">
        <f>C9*Assumptions!$B$11</f>
        <v>92574.0959</v>
      </c>
      <c r="L9" s="15">
        <f t="shared" si="5"/>
        <v>814753.4836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6.0</v>
      </c>
      <c r="B10" s="2">
        <v>45.0</v>
      </c>
      <c r="C10" s="15">
        <f t="shared" si="6"/>
        <v>814753.4836</v>
      </c>
      <c r="D10" s="15">
        <f t="shared" si="7"/>
        <v>138061.3059</v>
      </c>
      <c r="E10" s="16">
        <f t="shared" si="1"/>
        <v>0.1694516301</v>
      </c>
      <c r="F10" s="15">
        <f>Assumptions!$B$9/(1-(1-E10)*Assumptions!$B$24)</f>
        <v>308716.2018</v>
      </c>
      <c r="G10" s="15">
        <f t="shared" si="2"/>
        <v>52312.46363</v>
      </c>
      <c r="H10" s="15">
        <f t="shared" si="3"/>
        <v>256403.7382</v>
      </c>
      <c r="I10" s="15">
        <f>H10*Assumptions!$B$24</f>
        <v>68716.20184</v>
      </c>
      <c r="J10" s="15">
        <f t="shared" si="4"/>
        <v>240000</v>
      </c>
      <c r="K10" s="15">
        <f>C10*Assumptions!$B$11</f>
        <v>73327.81353</v>
      </c>
      <c r="L10" s="15">
        <f t="shared" si="5"/>
        <v>579365.0953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7.0</v>
      </c>
      <c r="B11" s="2">
        <v>46.0</v>
      </c>
      <c r="C11" s="15">
        <f t="shared" si="6"/>
        <v>579365.0953</v>
      </c>
      <c r="D11" s="15">
        <f t="shared" si="7"/>
        <v>85748.84227</v>
      </c>
      <c r="E11" s="16">
        <f t="shared" si="1"/>
        <v>0.148004847</v>
      </c>
      <c r="F11" s="15">
        <f>Assumptions!$B$9/(1-(1-E11)*Assumptions!$B$24)</f>
        <v>311015.67</v>
      </c>
      <c r="G11" s="15">
        <f t="shared" si="2"/>
        <v>46031.82665</v>
      </c>
      <c r="H11" s="15">
        <f t="shared" si="3"/>
        <v>264983.8434</v>
      </c>
      <c r="I11" s="15">
        <f>H11*Assumptions!$B$24</f>
        <v>71015.67003</v>
      </c>
      <c r="J11" s="15">
        <f t="shared" si="4"/>
        <v>240000</v>
      </c>
      <c r="K11" s="15">
        <f>C11*Assumptions!$B$11</f>
        <v>52142.85858</v>
      </c>
      <c r="L11" s="15">
        <f t="shared" si="5"/>
        <v>320492.2839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8.0</v>
      </c>
      <c r="B12" s="2">
        <v>47.0</v>
      </c>
      <c r="C12" s="15">
        <f t="shared" si="6"/>
        <v>320492.2839</v>
      </c>
      <c r="D12" s="15">
        <f t="shared" si="7"/>
        <v>39717.01563</v>
      </c>
      <c r="E12" s="16">
        <f t="shared" si="1"/>
        <v>0.1239250292</v>
      </c>
      <c r="F12" s="15">
        <f>Assumptions!$B$9/(1-(1-E12)*Assumptions!$B$24)</f>
        <v>313638.6111</v>
      </c>
      <c r="G12" s="15">
        <f t="shared" si="2"/>
        <v>38867.67403</v>
      </c>
      <c r="H12" s="15">
        <f t="shared" si="3"/>
        <v>274770.9371</v>
      </c>
      <c r="I12" s="15">
        <f>H12*Assumptions!$B$24</f>
        <v>73638.61115</v>
      </c>
      <c r="J12" s="15">
        <f t="shared" si="4"/>
        <v>240000</v>
      </c>
      <c r="K12" s="15">
        <f>C12*Assumptions!$B$11</f>
        <v>28844.30555</v>
      </c>
      <c r="L12" s="15">
        <f t="shared" si="5"/>
        <v>35697.97829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9.0</v>
      </c>
      <c r="B13" s="2">
        <v>48.0</v>
      </c>
      <c r="C13" s="15">
        <f t="shared" si="6"/>
        <v>35697.97829</v>
      </c>
      <c r="D13" s="15">
        <f t="shared" si="7"/>
        <v>849.3415945</v>
      </c>
      <c r="E13" s="16">
        <f t="shared" si="1"/>
        <v>0.02379242845</v>
      </c>
      <c r="F13" s="15">
        <f>Assumptions!$B$9/(1-(1-E13)*Assumptions!$B$24)</f>
        <v>325037.487</v>
      </c>
      <c r="G13" s="15">
        <f t="shared" si="2"/>
        <v>7733.431153</v>
      </c>
      <c r="H13" s="15">
        <f t="shared" si="3"/>
        <v>317304.0558</v>
      </c>
      <c r="I13" s="15">
        <f>H13*Assumptions!$B$24</f>
        <v>85037.48695</v>
      </c>
      <c r="J13" s="15">
        <f t="shared" si="4"/>
        <v>240000</v>
      </c>
      <c r="K13" s="15">
        <f>C13*Assumptions!$B$11</f>
        <v>3212.818046</v>
      </c>
      <c r="L13" s="15">
        <f t="shared" si="5"/>
        <v>-286126.6906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10.0</v>
      </c>
      <c r="B14" s="2">
        <v>49.0</v>
      </c>
      <c r="C14" s="15">
        <f t="shared" si="6"/>
        <v>-286126.6906</v>
      </c>
      <c r="D14" s="15">
        <f t="shared" si="7"/>
        <v>-6884.089559</v>
      </c>
      <c r="E14" s="16">
        <f t="shared" si="1"/>
        <v>0.02405958544</v>
      </c>
      <c r="F14" s="15">
        <f>Assumptions!$B$9/(1-(1-E14)*Assumptions!$B$24)</f>
        <v>325005.9721</v>
      </c>
      <c r="G14" s="15">
        <f t="shared" si="2"/>
        <v>7819.508954</v>
      </c>
      <c r="H14" s="15">
        <f t="shared" si="3"/>
        <v>317186.4632</v>
      </c>
      <c r="I14" s="15">
        <f>H14*Assumptions!$B$24</f>
        <v>85005.97213</v>
      </c>
      <c r="J14" s="15">
        <f t="shared" si="4"/>
        <v>240000</v>
      </c>
      <c r="K14" s="15">
        <f>C14*Assumptions!$B$11</f>
        <v>-25751.40216</v>
      </c>
      <c r="L14" s="15">
        <f t="shared" si="5"/>
        <v>-636884.0649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>
        <v>11.0</v>
      </c>
      <c r="B15" s="12">
        <v>50.0</v>
      </c>
      <c r="C15" s="13">
        <f t="shared" si="6"/>
        <v>-636884.0649</v>
      </c>
      <c r="D15" s="13">
        <f t="shared" si="7"/>
        <v>-14703.59851</v>
      </c>
      <c r="E15" s="14">
        <f t="shared" si="1"/>
        <v>0.02308677407</v>
      </c>
      <c r="F15" s="13">
        <f>Assumptions!$B$9/(1-(1-E15)*Assumptions!$B$24)</f>
        <v>325120.7579</v>
      </c>
      <c r="G15" s="13">
        <f t="shared" si="2"/>
        <v>7505.989483</v>
      </c>
      <c r="H15" s="13">
        <f t="shared" si="3"/>
        <v>317614.7685</v>
      </c>
      <c r="I15" s="13">
        <f>H15*Assumptions!$B$24</f>
        <v>85120.75795</v>
      </c>
      <c r="J15" s="13">
        <f t="shared" si="4"/>
        <v>240000</v>
      </c>
      <c r="K15" s="13">
        <f>C15*Assumptions!$B$11</f>
        <v>-57319.56584</v>
      </c>
      <c r="L15" s="13">
        <f t="shared" si="5"/>
        <v>-1019324.389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12.0</v>
      </c>
      <c r="B16" s="2">
        <v>51.0</v>
      </c>
      <c r="C16" s="15">
        <f t="shared" si="6"/>
        <v>-1019324.389</v>
      </c>
      <c r="D16" s="15">
        <f t="shared" si="7"/>
        <v>-22209.588</v>
      </c>
      <c r="E16" s="16">
        <f t="shared" si="1"/>
        <v>0.02178853782</v>
      </c>
      <c r="F16" s="15">
        <f>Assumptions!$B$9/(1-(1-E16)*Assumptions!$B$24)</f>
        <v>325274.0683</v>
      </c>
      <c r="G16" s="15">
        <f t="shared" si="2"/>
        <v>7087.246339</v>
      </c>
      <c r="H16" s="15">
        <f t="shared" si="3"/>
        <v>318186.8219</v>
      </c>
      <c r="I16" s="15">
        <f>H16*Assumptions!$B$24</f>
        <v>85274.06828</v>
      </c>
      <c r="J16" s="15">
        <f t="shared" si="4"/>
        <v>240000</v>
      </c>
      <c r="K16" s="15">
        <f>C16*Assumptions!$B$11</f>
        <v>-91739.19498</v>
      </c>
      <c r="L16" s="15">
        <f t="shared" si="5"/>
        <v>-1436337.652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13.0</v>
      </c>
      <c r="B17" s="2">
        <v>52.0</v>
      </c>
      <c r="C17" s="15">
        <f t="shared" si="6"/>
        <v>-1436337.652</v>
      </c>
      <c r="D17" s="15">
        <f t="shared" si="7"/>
        <v>-29296.83434</v>
      </c>
      <c r="E17" s="16">
        <f t="shared" si="1"/>
        <v>0.02039689922</v>
      </c>
      <c r="F17" s="15">
        <f>Assumptions!$B$9/(1-(1-E17)*Assumptions!$B$24)</f>
        <v>325438.5693</v>
      </c>
      <c r="G17" s="15">
        <f t="shared" si="2"/>
        <v>6637.9377</v>
      </c>
      <c r="H17" s="15">
        <f t="shared" si="3"/>
        <v>318800.6316</v>
      </c>
      <c r="I17" s="15">
        <f>H17*Assumptions!$B$24</f>
        <v>85438.56926</v>
      </c>
      <c r="J17" s="15">
        <f t="shared" si="4"/>
        <v>240000</v>
      </c>
      <c r="K17" s="15">
        <f>C17*Assumptions!$B$11</f>
        <v>-129270.3887</v>
      </c>
      <c r="L17" s="15">
        <f t="shared" si="5"/>
        <v>-1891046.61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14.0</v>
      </c>
      <c r="B18" s="2">
        <v>53.0</v>
      </c>
      <c r="C18" s="15">
        <f t="shared" si="6"/>
        <v>-1891046.61</v>
      </c>
      <c r="D18" s="15">
        <f t="shared" si="7"/>
        <v>-35934.77204</v>
      </c>
      <c r="E18" s="16">
        <f t="shared" si="1"/>
        <v>0.01900258399</v>
      </c>
      <c r="F18" s="15">
        <f>Assumptions!$B$9/(1-(1-E18)*Assumptions!$B$24)</f>
        <v>325603.5536</v>
      </c>
      <c r="G18" s="15">
        <f t="shared" si="2"/>
        <v>6187.308875</v>
      </c>
      <c r="H18" s="15">
        <f t="shared" si="3"/>
        <v>319416.2447</v>
      </c>
      <c r="I18" s="15">
        <f>H18*Assumptions!$B$24</f>
        <v>85603.55358</v>
      </c>
      <c r="J18" s="15">
        <f t="shared" si="4"/>
        <v>240000</v>
      </c>
      <c r="K18" s="15">
        <f>C18*Assumptions!$B$11</f>
        <v>-170194.1949</v>
      </c>
      <c r="L18" s="15">
        <f t="shared" si="5"/>
        <v>-2386844.358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15.0</v>
      </c>
      <c r="B19" s="2">
        <v>54.0</v>
      </c>
      <c r="C19" s="15">
        <f t="shared" si="6"/>
        <v>-2386844.358</v>
      </c>
      <c r="D19" s="15">
        <f t="shared" si="7"/>
        <v>-42122.08091</v>
      </c>
      <c r="E19" s="16">
        <f t="shared" si="1"/>
        <v>0.01764760269</v>
      </c>
      <c r="F19" s="15">
        <f>Assumptions!$B$9/(1-(1-E19)*Assumptions!$B$24)</f>
        <v>325764.044</v>
      </c>
      <c r="G19" s="15">
        <f t="shared" si="2"/>
        <v>5748.954418</v>
      </c>
      <c r="H19" s="15">
        <f t="shared" si="3"/>
        <v>320015.0896</v>
      </c>
      <c r="I19" s="15">
        <f>H19*Assumptions!$B$24</f>
        <v>85764.04401</v>
      </c>
      <c r="J19" s="15">
        <f t="shared" si="4"/>
        <v>240000</v>
      </c>
      <c r="K19" s="15">
        <f>C19*Assumptions!$B$11</f>
        <v>-214815.9923</v>
      </c>
      <c r="L19" s="15">
        <f t="shared" si="5"/>
        <v>-2927424.395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16.0</v>
      </c>
      <c r="B20" s="2">
        <v>55.0</v>
      </c>
      <c r="C20" s="15">
        <f t="shared" si="6"/>
        <v>-2927424.395</v>
      </c>
      <c r="D20" s="15">
        <f t="shared" si="7"/>
        <v>-47871.03533</v>
      </c>
      <c r="E20" s="16">
        <f t="shared" si="1"/>
        <v>0.01635261202</v>
      </c>
      <c r="F20" s="15">
        <f>Assumptions!$B$9/(1-(1-E20)*Assumptions!$B$24)</f>
        <v>325917.5768</v>
      </c>
      <c r="G20" s="15">
        <f t="shared" si="2"/>
        <v>5329.603682</v>
      </c>
      <c r="H20" s="15">
        <f t="shared" si="3"/>
        <v>320587.9731</v>
      </c>
      <c r="I20" s="15">
        <f>H20*Assumptions!$B$24</f>
        <v>85917.57679</v>
      </c>
      <c r="J20" s="15">
        <f t="shared" si="4"/>
        <v>240000</v>
      </c>
      <c r="K20" s="15">
        <f>C20*Assumptions!$B$11</f>
        <v>-263468.1955</v>
      </c>
      <c r="L20" s="15">
        <f t="shared" si="5"/>
        <v>-3516810.167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17.0</v>
      </c>
      <c r="B21" s="2">
        <v>56.0</v>
      </c>
      <c r="C21" s="15">
        <f t="shared" si="6"/>
        <v>-3516810.167</v>
      </c>
      <c r="D21" s="15">
        <f t="shared" si="7"/>
        <v>-53200.63901</v>
      </c>
      <c r="E21" s="16">
        <f t="shared" si="1"/>
        <v>0.0151275265</v>
      </c>
      <c r="F21" s="15">
        <f>Assumptions!$B$9/(1-(1-E21)*Assumptions!$B$24)</f>
        <v>326062.955</v>
      </c>
      <c r="G21" s="15">
        <f t="shared" si="2"/>
        <v>4932.525993</v>
      </c>
      <c r="H21" s="15">
        <f t="shared" si="3"/>
        <v>321130.429</v>
      </c>
      <c r="I21" s="15">
        <f>H21*Assumptions!$B$24</f>
        <v>86062.95496</v>
      </c>
      <c r="J21" s="15">
        <f t="shared" si="4"/>
        <v>240000</v>
      </c>
      <c r="K21" s="15">
        <f>C21*Assumptions!$B$11</f>
        <v>-316512.915</v>
      </c>
      <c r="L21" s="15">
        <f t="shared" si="5"/>
        <v>-4159386.037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18.0</v>
      </c>
      <c r="B22" s="2">
        <v>57.0</v>
      </c>
      <c r="C22" s="15">
        <f t="shared" si="6"/>
        <v>-4159386.037</v>
      </c>
      <c r="D22" s="15">
        <f t="shared" si="7"/>
        <v>-58133.16501</v>
      </c>
      <c r="E22" s="16">
        <f t="shared" si="1"/>
        <v>0.01397638125</v>
      </c>
      <c r="F22" s="15">
        <f>Assumptions!$B$9/(1-(1-E22)*Assumptions!$B$24)</f>
        <v>326199.677</v>
      </c>
      <c r="G22" s="15">
        <f t="shared" si="2"/>
        <v>4559.091049</v>
      </c>
      <c r="H22" s="15">
        <f t="shared" si="3"/>
        <v>321640.586</v>
      </c>
      <c r="I22" s="15">
        <f>H22*Assumptions!$B$24</f>
        <v>86199.67705</v>
      </c>
      <c r="J22" s="15">
        <f t="shared" si="4"/>
        <v>240000</v>
      </c>
      <c r="K22" s="15">
        <f>C22*Assumptions!$B$11</f>
        <v>-374344.7433</v>
      </c>
      <c r="L22" s="15">
        <f t="shared" si="5"/>
        <v>-4859930.457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19.0</v>
      </c>
      <c r="B23" s="2">
        <v>58.0</v>
      </c>
      <c r="C23" s="15">
        <f t="shared" si="6"/>
        <v>-4859930.457</v>
      </c>
      <c r="D23" s="15">
        <f t="shared" si="7"/>
        <v>-62692.25605</v>
      </c>
      <c r="E23" s="16">
        <f t="shared" si="1"/>
        <v>0.01289982575</v>
      </c>
      <c r="F23" s="15">
        <f>Assumptions!$B$9/(1-(1-E23)*Assumptions!$B$24)</f>
        <v>326327.6439</v>
      </c>
      <c r="G23" s="15">
        <f t="shared" si="2"/>
        <v>4209.569743</v>
      </c>
      <c r="H23" s="15">
        <f t="shared" si="3"/>
        <v>322118.0741</v>
      </c>
      <c r="I23" s="15">
        <f>H23*Assumptions!$B$24</f>
        <v>86327.64386</v>
      </c>
      <c r="J23" s="15">
        <f t="shared" si="4"/>
        <v>240000</v>
      </c>
      <c r="K23" s="15">
        <f>C23*Assumptions!$B$11</f>
        <v>-437393.7412</v>
      </c>
      <c r="L23" s="15">
        <f t="shared" si="5"/>
        <v>-5623651.842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20.0</v>
      </c>
      <c r="B24" s="2">
        <v>59.0</v>
      </c>
      <c r="C24" s="15">
        <f t="shared" si="6"/>
        <v>-5623651.842</v>
      </c>
      <c r="D24" s="15">
        <f t="shared" si="7"/>
        <v>-66901.8258</v>
      </c>
      <c r="E24" s="16">
        <f t="shared" si="1"/>
        <v>0.01189650919</v>
      </c>
      <c r="F24" s="15">
        <f>Assumptions!$B$9/(1-(1-E24)*Assumptions!$B$24)</f>
        <v>326446.9954</v>
      </c>
      <c r="G24" s="15">
        <f t="shared" si="2"/>
        <v>3883.57968</v>
      </c>
      <c r="H24" s="15">
        <f t="shared" si="3"/>
        <v>322563.4157</v>
      </c>
      <c r="I24" s="15">
        <f>H24*Assumptions!$B$24</f>
        <v>86446.99542</v>
      </c>
      <c r="J24" s="15">
        <f t="shared" si="4"/>
        <v>240000</v>
      </c>
      <c r="K24" s="15">
        <f>C24*Assumptions!$B$11</f>
        <v>-506128.6658</v>
      </c>
      <c r="L24" s="15">
        <f t="shared" si="5"/>
        <v>-6456227.504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>
        <v>21.0</v>
      </c>
      <c r="B25" s="12">
        <v>60.0</v>
      </c>
      <c r="C25" s="13">
        <f t="shared" si="6"/>
        <v>-6456227.504</v>
      </c>
      <c r="D25" s="13">
        <f t="shared" si="7"/>
        <v>-70785.40548</v>
      </c>
      <c r="E25" s="14">
        <f t="shared" si="1"/>
        <v>0.01096389578</v>
      </c>
      <c r="F25" s="13">
        <f>Assumptions!$B$9/(1-(1-E25)*Assumptions!$B$24)</f>
        <v>326558.0147</v>
      </c>
      <c r="G25" s="13">
        <f t="shared" si="2"/>
        <v>3580.348039</v>
      </c>
      <c r="H25" s="13">
        <f t="shared" si="3"/>
        <v>322977.6666</v>
      </c>
      <c r="I25" s="13">
        <f>H25*Assumptions!$B$24</f>
        <v>86558.01465</v>
      </c>
      <c r="J25" s="13">
        <f t="shared" si="4"/>
        <v>240000</v>
      </c>
      <c r="K25" s="13">
        <f>C25*Assumptions!$B$11</f>
        <v>-581060.4753</v>
      </c>
      <c r="L25" s="13">
        <f t="shared" si="5"/>
        <v>-7363845.994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22.0</v>
      </c>
      <c r="B26" s="2">
        <v>61.0</v>
      </c>
      <c r="C26" s="15">
        <f t="shared" si="6"/>
        <v>-7363845.994</v>
      </c>
      <c r="D26" s="15">
        <f t="shared" si="7"/>
        <v>-74365.75352</v>
      </c>
      <c r="E26" s="16">
        <f t="shared" si="1"/>
        <v>0.01009876545</v>
      </c>
      <c r="F26" s="15">
        <f>Assumptions!$B$9/(1-(1-E26)*Assumptions!$B$24)</f>
        <v>326661.0682</v>
      </c>
      <c r="G26" s="15">
        <f t="shared" si="2"/>
        <v>3298.87351</v>
      </c>
      <c r="H26" s="15">
        <f t="shared" si="3"/>
        <v>323362.1947</v>
      </c>
      <c r="I26" s="15">
        <f>H26*Assumptions!$B$24</f>
        <v>86661.06817</v>
      </c>
      <c r="J26" s="15">
        <f t="shared" si="4"/>
        <v>240000</v>
      </c>
      <c r="K26" s="15">
        <f>C26*Assumptions!$B$11</f>
        <v>-662746.1394</v>
      </c>
      <c r="L26" s="15">
        <f t="shared" si="5"/>
        <v>-8353253.201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23.0</v>
      </c>
      <c r="B27" s="2">
        <v>62.0</v>
      </c>
      <c r="C27" s="15">
        <f t="shared" si="6"/>
        <v>-8353253.201</v>
      </c>
      <c r="D27" s="15">
        <f t="shared" si="7"/>
        <v>-77664.62703</v>
      </c>
      <c r="E27" s="16">
        <f t="shared" si="1"/>
        <v>0.009297530573</v>
      </c>
      <c r="F27" s="15">
        <f>Assumptions!$B$9/(1-(1-E27)*Assumptions!$B$24)</f>
        <v>326756.5685</v>
      </c>
      <c r="G27" s="15">
        <f t="shared" si="2"/>
        <v>3038.029186</v>
      </c>
      <c r="H27" s="15">
        <f t="shared" si="3"/>
        <v>323718.5394</v>
      </c>
      <c r="I27" s="15">
        <f>H27*Assumptions!$B$24</f>
        <v>86756.56855</v>
      </c>
      <c r="J27" s="15">
        <f t="shared" si="4"/>
        <v>240000</v>
      </c>
      <c r="K27" s="15">
        <f>C27*Assumptions!$B$11</f>
        <v>-751792.7881</v>
      </c>
      <c r="L27" s="15">
        <f t="shared" si="5"/>
        <v>-9431802.558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24.0</v>
      </c>
      <c r="B28" s="2">
        <v>63.0</v>
      </c>
      <c r="C28" s="15">
        <f t="shared" si="6"/>
        <v>-9431802.558</v>
      </c>
      <c r="D28" s="15">
        <f t="shared" si="7"/>
        <v>-80702.65621</v>
      </c>
      <c r="E28" s="16">
        <f t="shared" si="1"/>
        <v>0.008556440375</v>
      </c>
      <c r="F28" s="15">
        <f>Assumptions!$B$9/(1-(1-E28)*Assumptions!$B$24)</f>
        <v>326844.9499</v>
      </c>
      <c r="G28" s="15">
        <f t="shared" si="2"/>
        <v>2796.629326</v>
      </c>
      <c r="H28" s="15">
        <f t="shared" si="3"/>
        <v>324048.3206</v>
      </c>
      <c r="I28" s="15">
        <f>H28*Assumptions!$B$24</f>
        <v>86844.94992</v>
      </c>
      <c r="J28" s="15">
        <f t="shared" si="4"/>
        <v>240000</v>
      </c>
      <c r="K28" s="15">
        <f>C28*Assumptions!$B$11</f>
        <v>-848862.2302</v>
      </c>
      <c r="L28" s="15">
        <f t="shared" si="5"/>
        <v>-10607509.74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25.0</v>
      </c>
      <c r="B29" s="2">
        <v>64.0</v>
      </c>
      <c r="C29" s="15">
        <f t="shared" si="6"/>
        <v>-10607509.74</v>
      </c>
      <c r="D29" s="15">
        <f t="shared" si="7"/>
        <v>-83499.28554</v>
      </c>
      <c r="E29" s="16">
        <f t="shared" si="1"/>
        <v>0.007871714248</v>
      </c>
      <c r="F29" s="15">
        <f>Assumptions!$B$9/(1-(1-E29)*Assumptions!$B$24)</f>
        <v>326926.6519</v>
      </c>
      <c r="G29" s="15">
        <f t="shared" si="2"/>
        <v>2573.473184</v>
      </c>
      <c r="H29" s="15">
        <f t="shared" si="3"/>
        <v>324353.1787</v>
      </c>
      <c r="I29" s="15">
        <f>H29*Assumptions!$B$24</f>
        <v>86926.65189</v>
      </c>
      <c r="J29" s="15">
        <f t="shared" si="4"/>
        <v>240000</v>
      </c>
      <c r="K29" s="15">
        <f>C29*Assumptions!$B$11</f>
        <v>-954675.8764</v>
      </c>
      <c r="L29" s="15">
        <f t="shared" si="5"/>
        <v>-11889112.27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26.0</v>
      </c>
      <c r="B30" s="2">
        <v>65.0</v>
      </c>
      <c r="C30" s="15">
        <f t="shared" si="6"/>
        <v>-11889112.27</v>
      </c>
      <c r="D30" s="15">
        <f t="shared" si="7"/>
        <v>-86072.75872</v>
      </c>
      <c r="E30" s="16">
        <f t="shared" si="1"/>
        <v>0.007239628729</v>
      </c>
      <c r="F30" s="15">
        <f>Assumptions!$B$9/(1-(1-E30)*Assumptions!$B$24)</f>
        <v>327002.109</v>
      </c>
      <c r="G30" s="15">
        <f t="shared" si="2"/>
        <v>2367.373863</v>
      </c>
      <c r="H30" s="15">
        <f t="shared" si="3"/>
        <v>324634.7352</v>
      </c>
      <c r="I30" s="15">
        <f>H30*Assumptions!$B$24</f>
        <v>87002.10902</v>
      </c>
      <c r="J30" s="15">
        <f t="shared" si="4"/>
        <v>240000</v>
      </c>
      <c r="K30" s="15">
        <f>C30*Assumptions!$B$11</f>
        <v>-1070020.104</v>
      </c>
      <c r="L30" s="15">
        <f t="shared" si="5"/>
        <v>-13286134.48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27.0</v>
      </c>
      <c r="B31" s="2">
        <v>66.0</v>
      </c>
      <c r="C31" s="15">
        <f t="shared" si="6"/>
        <v>-13286134.48</v>
      </c>
      <c r="D31" s="15">
        <f t="shared" si="7"/>
        <v>-88440.13258</v>
      </c>
      <c r="E31" s="16">
        <f t="shared" si="1"/>
        <v>0.006656573642</v>
      </c>
      <c r="F31" s="15">
        <f>Assumptions!$B$9/(1-(1-E31)*Assumptions!$B$24)</f>
        <v>327071.7439</v>
      </c>
      <c r="G31" s="15">
        <f t="shared" si="2"/>
        <v>2177.17715</v>
      </c>
      <c r="H31" s="15">
        <f t="shared" si="3"/>
        <v>324894.5667</v>
      </c>
      <c r="I31" s="15">
        <f>H31*Assumptions!$B$24</f>
        <v>87071.74389</v>
      </c>
      <c r="J31" s="15">
        <f t="shared" si="4"/>
        <v>240000</v>
      </c>
      <c r="K31" s="15">
        <f>C31*Assumptions!$B$11</f>
        <v>-1195752.103</v>
      </c>
      <c r="L31" s="15">
        <f t="shared" si="5"/>
        <v>-14808958.33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28.0</v>
      </c>
      <c r="B32" s="2">
        <v>67.0</v>
      </c>
      <c r="C32" s="15">
        <f t="shared" si="6"/>
        <v>-14808958.33</v>
      </c>
      <c r="D32" s="15">
        <f t="shared" si="7"/>
        <v>-90617.30973</v>
      </c>
      <c r="E32" s="16">
        <f t="shared" si="1"/>
        <v>0.006119087362</v>
      </c>
      <c r="F32" s="15">
        <f>Assumptions!$B$9/(1-(1-E32)*Assumptions!$B$24)</f>
        <v>327135.9627</v>
      </c>
      <c r="G32" s="15">
        <f t="shared" si="2"/>
        <v>2001.773535</v>
      </c>
      <c r="H32" s="15">
        <f t="shared" si="3"/>
        <v>325134.1892</v>
      </c>
      <c r="I32" s="15">
        <f>H32*Assumptions!$B$24</f>
        <v>87135.96269</v>
      </c>
      <c r="J32" s="15">
        <f t="shared" si="4"/>
        <v>240000</v>
      </c>
      <c r="K32" s="15">
        <f>C32*Assumptions!$B$11</f>
        <v>-1332806.249</v>
      </c>
      <c r="L32" s="15">
        <f t="shared" si="5"/>
        <v>-16468900.54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29.0</v>
      </c>
      <c r="B33" s="2">
        <v>68.0</v>
      </c>
      <c r="C33" s="15">
        <f t="shared" si="6"/>
        <v>-16468900.54</v>
      </c>
      <c r="D33" s="15">
        <f t="shared" si="7"/>
        <v>-92619.08327</v>
      </c>
      <c r="E33" s="16">
        <f t="shared" si="1"/>
        <v>0.005623877748</v>
      </c>
      <c r="F33" s="15">
        <f>Assumptions!$B$9/(1-(1-E33)*Assumptions!$B$24)</f>
        <v>327195.1526</v>
      </c>
      <c r="G33" s="15">
        <f t="shared" si="2"/>
        <v>1840.105538</v>
      </c>
      <c r="H33" s="15">
        <f t="shared" si="3"/>
        <v>325355.0471</v>
      </c>
      <c r="I33" s="15">
        <f>H33*Assumptions!$B$24</f>
        <v>87195.15262</v>
      </c>
      <c r="J33" s="15">
        <f t="shared" si="4"/>
        <v>240000</v>
      </c>
      <c r="K33" s="15">
        <f>C33*Assumptions!$B$11</f>
        <v>-1482201.048</v>
      </c>
      <c r="L33" s="15">
        <f t="shared" si="5"/>
        <v>-18278296.74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30.0</v>
      </c>
      <c r="B34" s="2">
        <v>69.0</v>
      </c>
      <c r="C34" s="15">
        <f t="shared" si="6"/>
        <v>-18278296.74</v>
      </c>
      <c r="D34" s="15">
        <f t="shared" si="7"/>
        <v>-94459.18881</v>
      </c>
      <c r="E34" s="16">
        <f t="shared" si="1"/>
        <v>0.005167833204</v>
      </c>
      <c r="F34" s="15">
        <f>Assumptions!$B$9/(1-(1-E34)*Assumptions!$B$24)</f>
        <v>327249.6803</v>
      </c>
      <c r="G34" s="15">
        <f t="shared" si="2"/>
        <v>1691.171764</v>
      </c>
      <c r="H34" s="15">
        <f t="shared" si="3"/>
        <v>325558.5085</v>
      </c>
      <c r="I34" s="15">
        <f>H34*Assumptions!$B$24</f>
        <v>87249.68028</v>
      </c>
      <c r="J34" s="15">
        <f t="shared" si="4"/>
        <v>240000</v>
      </c>
      <c r="K34" s="15">
        <f>C34*Assumptions!$B$11</f>
        <v>-1645046.707</v>
      </c>
      <c r="L34" s="15">
        <f t="shared" si="5"/>
        <v>-20250593.13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">
        <v>31.0</v>
      </c>
      <c r="B35" s="12">
        <v>70.0</v>
      </c>
      <c r="C35" s="13">
        <f t="shared" si="6"/>
        <v>-20250593.13</v>
      </c>
      <c r="D35" s="13">
        <f t="shared" si="7"/>
        <v>-96150.36057</v>
      </c>
      <c r="E35" s="14">
        <f t="shared" si="1"/>
        <v>0.004748026884</v>
      </c>
      <c r="F35" s="13">
        <f>Assumptions!$B$9/(1-(1-E35)*Assumptions!$B$24)</f>
        <v>327299.8911</v>
      </c>
      <c r="G35" s="13">
        <f t="shared" si="2"/>
        <v>1554.028682</v>
      </c>
      <c r="H35" s="13">
        <f t="shared" si="3"/>
        <v>325745.8625</v>
      </c>
      <c r="I35" s="13">
        <f>H35*Assumptions!$B$24</f>
        <v>87299.89114</v>
      </c>
      <c r="J35" s="13">
        <f t="shared" si="4"/>
        <v>240000</v>
      </c>
      <c r="K35" s="13">
        <f>C35*Assumptions!$B$11</f>
        <v>-1822553.381</v>
      </c>
      <c r="L35" s="13">
        <f t="shared" si="5"/>
        <v>-22400446.4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32.0</v>
      </c>
      <c r="B36" s="2">
        <v>71.0</v>
      </c>
      <c r="C36" s="15">
        <f t="shared" si="6"/>
        <v>-22400446.4</v>
      </c>
      <c r="D36" s="15">
        <f t="shared" si="7"/>
        <v>-97704.38925</v>
      </c>
      <c r="E36" s="16">
        <f t="shared" si="1"/>
        <v>0.004361716169</v>
      </c>
      <c r="F36" s="15">
        <f>Assumptions!$B$9/(1-(1-E36)*Assumptions!$B$24)</f>
        <v>327346.1094</v>
      </c>
      <c r="G36" s="15">
        <f t="shared" si="2"/>
        <v>1427.790818</v>
      </c>
      <c r="H36" s="15">
        <f t="shared" si="3"/>
        <v>325918.3186</v>
      </c>
      <c r="I36" s="15">
        <f>H36*Assumptions!$B$24</f>
        <v>87346.10937</v>
      </c>
      <c r="J36" s="15">
        <f t="shared" si="4"/>
        <v>240000</v>
      </c>
      <c r="K36" s="15">
        <f>C36*Assumptions!$B$11</f>
        <v>-2016040.176</v>
      </c>
      <c r="L36" s="15">
        <f t="shared" si="5"/>
        <v>-24743832.68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33.0</v>
      </c>
      <c r="B37" s="2">
        <v>72.0</v>
      </c>
      <c r="C37" s="15">
        <f t="shared" si="6"/>
        <v>-24743832.68</v>
      </c>
      <c r="D37" s="15">
        <f t="shared" si="7"/>
        <v>-99132.18007</v>
      </c>
      <c r="E37" s="16">
        <f t="shared" si="1"/>
        <v>0.004006338926</v>
      </c>
      <c r="F37" s="15">
        <f>Assumptions!$B$9/(1-(1-E37)*Assumptions!$B$24)</f>
        <v>327388.6383</v>
      </c>
      <c r="G37" s="15">
        <f t="shared" si="2"/>
        <v>1311.629846</v>
      </c>
      <c r="H37" s="15">
        <f t="shared" si="3"/>
        <v>326077.0084</v>
      </c>
      <c r="I37" s="15">
        <f>H37*Assumptions!$B$24</f>
        <v>87388.63825</v>
      </c>
      <c r="J37" s="15">
        <f t="shared" si="4"/>
        <v>240000</v>
      </c>
      <c r="K37" s="15">
        <f>C37*Assumptions!$B$11</f>
        <v>-2226944.942</v>
      </c>
      <c r="L37" s="15">
        <f t="shared" si="5"/>
        <v>-27298166.26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34.0</v>
      </c>
      <c r="B38" s="2">
        <v>73.0</v>
      </c>
      <c r="C38" s="15">
        <f t="shared" si="6"/>
        <v>-27298166.26</v>
      </c>
      <c r="D38" s="15">
        <f t="shared" si="7"/>
        <v>-100443.8099</v>
      </c>
      <c r="E38" s="16">
        <f t="shared" si="1"/>
        <v>0.003679507588</v>
      </c>
      <c r="F38" s="15">
        <f>Assumptions!$B$9/(1-(1-E38)*Assumptions!$B$24)</f>
        <v>327427.7607</v>
      </c>
      <c r="G38" s="15">
        <f t="shared" si="2"/>
        <v>1204.77293</v>
      </c>
      <c r="H38" s="15">
        <f t="shared" si="3"/>
        <v>326222.9878</v>
      </c>
      <c r="I38" s="15">
        <f>H38*Assumptions!$B$24</f>
        <v>87427.76073</v>
      </c>
      <c r="J38" s="15">
        <f t="shared" si="4"/>
        <v>240000</v>
      </c>
      <c r="K38" s="15">
        <f>C38*Assumptions!$B$11</f>
        <v>-2456834.964</v>
      </c>
      <c r="L38" s="15">
        <f t="shared" si="5"/>
        <v>-30082428.99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35.0</v>
      </c>
      <c r="B39" s="2">
        <v>74.0</v>
      </c>
      <c r="C39" s="15">
        <f t="shared" si="6"/>
        <v>-30082428.99</v>
      </c>
      <c r="D39" s="15">
        <f t="shared" si="7"/>
        <v>-101648.5828</v>
      </c>
      <c r="E39" s="16">
        <f t="shared" si="1"/>
        <v>0.003379001838</v>
      </c>
      <c r="F39" s="15">
        <f>Assumptions!$B$9/(1-(1-E39)*Assumptions!$B$24)</f>
        <v>327463.7402</v>
      </c>
      <c r="G39" s="15">
        <f t="shared" si="2"/>
        <v>1106.50058</v>
      </c>
      <c r="H39" s="15">
        <f t="shared" si="3"/>
        <v>326357.2396</v>
      </c>
      <c r="I39" s="15">
        <f>H39*Assumptions!$B$24</f>
        <v>87463.74022</v>
      </c>
      <c r="J39" s="15">
        <f t="shared" si="4"/>
        <v>240000</v>
      </c>
      <c r="K39" s="15">
        <f>C39*Assumptions!$B$11</f>
        <v>-2707418.609</v>
      </c>
      <c r="L39" s="15">
        <f t="shared" si="5"/>
        <v>-33117311.34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36.0</v>
      </c>
      <c r="B40" s="2">
        <v>75.0</v>
      </c>
      <c r="C40" s="15">
        <f t="shared" si="6"/>
        <v>-33117311.34</v>
      </c>
      <c r="D40" s="15">
        <f t="shared" si="7"/>
        <v>-102755.0834</v>
      </c>
      <c r="E40" s="16">
        <f t="shared" si="1"/>
        <v>0.003102760438</v>
      </c>
      <c r="F40" s="15">
        <f>Assumptions!$B$9/(1-(1-E40)*Assumptions!$B$24)</f>
        <v>327496.8215</v>
      </c>
      <c r="G40" s="15">
        <f t="shared" si="2"/>
        <v>1016.144181</v>
      </c>
      <c r="H40" s="15">
        <f t="shared" si="3"/>
        <v>326480.6773</v>
      </c>
      <c r="I40" s="15">
        <f>H40*Assumptions!$B$24</f>
        <v>87496.82153</v>
      </c>
      <c r="J40" s="15">
        <f t="shared" si="4"/>
        <v>240000</v>
      </c>
      <c r="K40" s="15">
        <f>C40*Assumptions!$B$11</f>
        <v>-2980558.02</v>
      </c>
      <c r="L40" s="15">
        <f t="shared" si="5"/>
        <v>-36425366.18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37.0</v>
      </c>
      <c r="B41" s="2">
        <v>76.0</v>
      </c>
      <c r="C41" s="15">
        <f t="shared" si="6"/>
        <v>-36425366.18</v>
      </c>
      <c r="D41" s="15">
        <f t="shared" si="7"/>
        <v>-103771.2276</v>
      </c>
      <c r="E41" s="16">
        <f t="shared" si="1"/>
        <v>0.002848872599</v>
      </c>
      <c r="F41" s="15">
        <f>Assumptions!$B$9/(1-(1-E41)*Assumptions!$B$24)</f>
        <v>327527.2318</v>
      </c>
      <c r="G41" s="15">
        <f t="shared" si="2"/>
        <v>933.083356</v>
      </c>
      <c r="H41" s="15">
        <f t="shared" si="3"/>
        <v>326594.1484</v>
      </c>
      <c r="I41" s="15">
        <f>H41*Assumptions!$B$24</f>
        <v>87527.23178</v>
      </c>
      <c r="J41" s="15">
        <f t="shared" si="4"/>
        <v>240000</v>
      </c>
      <c r="K41" s="15">
        <f>C41*Assumptions!$B$11</f>
        <v>-3278282.956</v>
      </c>
      <c r="L41" s="15">
        <f t="shared" si="5"/>
        <v>-40031176.37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38.0</v>
      </c>
      <c r="B42" s="2">
        <v>77.0</v>
      </c>
      <c r="C42" s="15">
        <f t="shared" si="6"/>
        <v>-40031176.37</v>
      </c>
      <c r="D42" s="15">
        <f t="shared" si="7"/>
        <v>-104704.311</v>
      </c>
      <c r="E42" s="16">
        <f t="shared" si="1"/>
        <v>0.002615569175</v>
      </c>
      <c r="F42" s="15">
        <f>Assumptions!$B$9/(1-(1-E42)*Assumptions!$B$24)</f>
        <v>327555.1814</v>
      </c>
      <c r="G42" s="15">
        <f t="shared" si="2"/>
        <v>856.7432358</v>
      </c>
      <c r="H42" s="15">
        <f t="shared" si="3"/>
        <v>326698.4382</v>
      </c>
      <c r="I42" s="15">
        <f>H42*Assumptions!$B$24</f>
        <v>87555.18144</v>
      </c>
      <c r="J42" s="15">
        <f t="shared" si="4"/>
        <v>240000</v>
      </c>
      <c r="K42" s="15">
        <f>C42*Assumptions!$B$11</f>
        <v>-3602805.873</v>
      </c>
      <c r="L42" s="15">
        <f t="shared" si="5"/>
        <v>-43961537.42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39.0</v>
      </c>
      <c r="B43" s="2">
        <v>78.0</v>
      </c>
      <c r="C43" s="15">
        <f t="shared" si="6"/>
        <v>-43961537.42</v>
      </c>
      <c r="D43" s="15">
        <f t="shared" si="7"/>
        <v>-105561.0542</v>
      </c>
      <c r="E43" s="16">
        <f t="shared" si="1"/>
        <v>0.002401213888</v>
      </c>
      <c r="F43" s="15">
        <f>Assumptions!$B$9/(1-(1-E43)*Assumptions!$B$24)</f>
        <v>327580.8653</v>
      </c>
      <c r="G43" s="15">
        <f t="shared" si="2"/>
        <v>786.5917233</v>
      </c>
      <c r="H43" s="15">
        <f t="shared" si="3"/>
        <v>326794.2736</v>
      </c>
      <c r="I43" s="15">
        <f>H43*Assumptions!$B$24</f>
        <v>87580.86533</v>
      </c>
      <c r="J43" s="15">
        <f t="shared" si="4"/>
        <v>240000</v>
      </c>
      <c r="K43" s="15">
        <f>C43*Assumptions!$B$11</f>
        <v>-3956538.368</v>
      </c>
      <c r="L43" s="15">
        <f t="shared" si="5"/>
        <v>-48245656.65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40.0</v>
      </c>
      <c r="B44" s="2">
        <v>79.0</v>
      </c>
      <c r="C44" s="15">
        <f t="shared" si="6"/>
        <v>-48245656.65</v>
      </c>
      <c r="D44" s="15">
        <f t="shared" si="7"/>
        <v>-106347.6459</v>
      </c>
      <c r="E44" s="16">
        <f t="shared" si="1"/>
        <v>0.002204294714</v>
      </c>
      <c r="F44" s="15">
        <f>Assumptions!$B$9/(1-(1-E44)*Assumptions!$B$24)</f>
        <v>327604.4636</v>
      </c>
      <c r="G44" s="15">
        <f t="shared" si="2"/>
        <v>722.1367873</v>
      </c>
      <c r="H44" s="15">
        <f t="shared" si="3"/>
        <v>326882.3268</v>
      </c>
      <c r="I44" s="15">
        <f>H44*Assumptions!$B$24</f>
        <v>87604.46358</v>
      </c>
      <c r="J44" s="15">
        <f t="shared" si="4"/>
        <v>240000</v>
      </c>
      <c r="K44" s="15">
        <f>C44*Assumptions!$B$11</f>
        <v>-4342109.099</v>
      </c>
      <c r="L44" s="15">
        <f t="shared" si="5"/>
        <v>-52915370.22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>
        <v>41.0</v>
      </c>
      <c r="B45" s="12">
        <v>80.0</v>
      </c>
      <c r="C45" s="13">
        <f t="shared" si="6"/>
        <v>-52915370.22</v>
      </c>
      <c r="D45" s="13">
        <f t="shared" si="7"/>
        <v>-107069.7827</v>
      </c>
      <c r="E45" s="14">
        <f t="shared" si="1"/>
        <v>0.002023415546</v>
      </c>
      <c r="F45" s="13">
        <f>Assumptions!$B$9/(1-(1-E45)*Assumptions!$B$24)</f>
        <v>327626.1426</v>
      </c>
      <c r="G45" s="13">
        <f t="shared" si="2"/>
        <v>662.9238302</v>
      </c>
      <c r="H45" s="13">
        <f t="shared" si="3"/>
        <v>326963.2188</v>
      </c>
      <c r="I45" s="13">
        <f>H45*Assumptions!$B$24</f>
        <v>87626.14264</v>
      </c>
      <c r="J45" s="13">
        <f t="shared" si="4"/>
        <v>240000</v>
      </c>
      <c r="K45" s="13">
        <f>C45*Assumptions!$B$11</f>
        <v>-4762383.32</v>
      </c>
      <c r="L45" s="13">
        <f t="shared" si="5"/>
        <v>-58005379.68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42.0</v>
      </c>
      <c r="B46" s="2">
        <v>81.0</v>
      </c>
      <c r="C46" s="15">
        <f t="shared" si="6"/>
        <v>-58005379.68</v>
      </c>
      <c r="D46" s="15">
        <f t="shared" si="7"/>
        <v>-107732.7065</v>
      </c>
      <c r="E46" s="16">
        <f t="shared" si="1"/>
        <v>0.001857288188</v>
      </c>
      <c r="F46" s="15">
        <f>Assumptions!$B$9/(1-(1-E46)*Assumptions!$B$24)</f>
        <v>327646.0562</v>
      </c>
      <c r="G46" s="15">
        <f t="shared" si="2"/>
        <v>608.5331501</v>
      </c>
      <c r="H46" s="15">
        <f t="shared" si="3"/>
        <v>327037.523</v>
      </c>
      <c r="I46" s="15">
        <f>H46*Assumptions!$B$24</f>
        <v>87646.05617</v>
      </c>
      <c r="J46" s="15">
        <f t="shared" si="4"/>
        <v>240000</v>
      </c>
      <c r="K46" s="15">
        <f>C46*Assumptions!$B$11</f>
        <v>-5220484.171</v>
      </c>
      <c r="L46" s="15">
        <f t="shared" si="5"/>
        <v>-63553509.91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43.0</v>
      </c>
      <c r="B47" s="2">
        <v>82.0</v>
      </c>
      <c r="C47" s="15">
        <f t="shared" si="6"/>
        <v>-63553509.91</v>
      </c>
      <c r="D47" s="15">
        <f t="shared" si="7"/>
        <v>-108341.2397</v>
      </c>
      <c r="E47" s="16">
        <f t="shared" si="1"/>
        <v>0.001704724725</v>
      </c>
      <c r="F47" s="15">
        <f>Assumptions!$B$9/(1-(1-E47)*Assumptions!$B$24)</f>
        <v>327664.3459</v>
      </c>
      <c r="G47" s="15">
        <f t="shared" si="2"/>
        <v>558.577512</v>
      </c>
      <c r="H47" s="15">
        <f t="shared" si="3"/>
        <v>327105.7684</v>
      </c>
      <c r="I47" s="15">
        <f>H47*Assumptions!$B$24</f>
        <v>87664.34594</v>
      </c>
      <c r="J47" s="15">
        <f t="shared" si="4"/>
        <v>240000</v>
      </c>
      <c r="K47" s="15">
        <f>C47*Assumptions!$B$11</f>
        <v>-5719815.892</v>
      </c>
      <c r="L47" s="15">
        <f t="shared" si="5"/>
        <v>-69600990.14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44.0</v>
      </c>
      <c r="B48" s="2">
        <v>83.0</v>
      </c>
      <c r="C48" s="15">
        <f t="shared" si="6"/>
        <v>-69600990.14</v>
      </c>
      <c r="D48" s="15">
        <f t="shared" si="7"/>
        <v>-108899.8172</v>
      </c>
      <c r="E48" s="16">
        <f t="shared" si="1"/>
        <v>0.001564630287</v>
      </c>
      <c r="F48" s="15">
        <f>Assumptions!$B$9/(1-(1-E48)*Assumptions!$B$24)</f>
        <v>327681.1427</v>
      </c>
      <c r="G48" s="15">
        <f t="shared" si="2"/>
        <v>512.6998404</v>
      </c>
      <c r="H48" s="15">
        <f t="shared" si="3"/>
        <v>327168.4428</v>
      </c>
      <c r="I48" s="15">
        <f>H48*Assumptions!$B$24</f>
        <v>87681.14268</v>
      </c>
      <c r="J48" s="15">
        <f t="shared" si="4"/>
        <v>240000</v>
      </c>
      <c r="K48" s="15">
        <f>C48*Assumptions!$B$11</f>
        <v>-6264089.113</v>
      </c>
      <c r="L48" s="15">
        <f t="shared" si="5"/>
        <v>-76192760.4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45.0</v>
      </c>
      <c r="B49" s="2">
        <v>84.0</v>
      </c>
      <c r="C49" s="15">
        <f t="shared" si="6"/>
        <v>-76192760.4</v>
      </c>
      <c r="D49" s="15">
        <f t="shared" si="7"/>
        <v>-109412.517</v>
      </c>
      <c r="E49" s="16">
        <f t="shared" si="1"/>
        <v>0.001435996235</v>
      </c>
      <c r="F49" s="15">
        <f>Assumptions!$B$9/(1-(1-E49)*Assumptions!$B$24)</f>
        <v>327696.5669</v>
      </c>
      <c r="G49" s="15">
        <f t="shared" si="2"/>
        <v>470.5710362</v>
      </c>
      <c r="H49" s="15">
        <f t="shared" si="3"/>
        <v>327225.9959</v>
      </c>
      <c r="I49" s="15">
        <f>H49*Assumptions!$B$24</f>
        <v>87696.56689</v>
      </c>
      <c r="J49" s="15">
        <f t="shared" si="4"/>
        <v>240000</v>
      </c>
      <c r="K49" s="15">
        <f>C49*Assumptions!$B$11</f>
        <v>-6857348.436</v>
      </c>
      <c r="L49" s="15">
        <f t="shared" si="5"/>
        <v>-83377805.4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46.0</v>
      </c>
      <c r="B50" s="2">
        <v>85.0</v>
      </c>
      <c r="C50" s="15">
        <f t="shared" si="6"/>
        <v>-83377805.4</v>
      </c>
      <c r="D50" s="15">
        <f t="shared" si="7"/>
        <v>-109883.0881</v>
      </c>
      <c r="E50" s="16">
        <f t="shared" si="1"/>
        <v>0.001317893743</v>
      </c>
      <c r="F50" s="15">
        <f>Assumptions!$B$9/(1-(1-E50)*Assumptions!$B$24)</f>
        <v>327710.7296</v>
      </c>
      <c r="G50" s="15">
        <f t="shared" si="2"/>
        <v>431.8879201</v>
      </c>
      <c r="H50" s="15">
        <f t="shared" si="3"/>
        <v>327278.8416</v>
      </c>
      <c r="I50" s="15">
        <f>H50*Assumptions!$B$24</f>
        <v>87710.72956</v>
      </c>
      <c r="J50" s="15">
        <f t="shared" si="4"/>
        <v>240000</v>
      </c>
      <c r="K50" s="15">
        <f>C50*Assumptions!$B$11</f>
        <v>-7504002.486</v>
      </c>
      <c r="L50" s="15">
        <f t="shared" si="5"/>
        <v>-91209518.62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47.0</v>
      </c>
      <c r="B51" s="2">
        <v>86.0</v>
      </c>
      <c r="C51" s="15">
        <f t="shared" si="6"/>
        <v>-91209518.62</v>
      </c>
      <c r="D51" s="15">
        <f t="shared" si="7"/>
        <v>-110314.976</v>
      </c>
      <c r="E51" s="16">
        <f t="shared" si="1"/>
        <v>0.001209467802</v>
      </c>
      <c r="F51" s="15">
        <f>Assumptions!$B$9/(1-(1-E51)*Assumptions!$B$24)</f>
        <v>327723.7329</v>
      </c>
      <c r="G51" s="15">
        <f t="shared" si="2"/>
        <v>396.3713029</v>
      </c>
      <c r="H51" s="15">
        <f t="shared" si="3"/>
        <v>327327.3616</v>
      </c>
      <c r="I51" s="15">
        <f>H51*Assumptions!$B$24</f>
        <v>87723.73291</v>
      </c>
      <c r="J51" s="15">
        <f t="shared" si="4"/>
        <v>240000</v>
      </c>
      <c r="K51" s="15">
        <f>C51*Assumptions!$B$11</f>
        <v>-8208856.676</v>
      </c>
      <c r="L51" s="15">
        <f t="shared" si="5"/>
        <v>-99746099.03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48.0</v>
      </c>
      <c r="B52" s="2">
        <v>87.0</v>
      </c>
      <c r="C52" s="15">
        <f t="shared" si="6"/>
        <v>-99746099.03</v>
      </c>
      <c r="D52" s="15">
        <f t="shared" si="7"/>
        <v>-110711.3473</v>
      </c>
      <c r="E52" s="16">
        <f t="shared" si="1"/>
        <v>0.0011099316</v>
      </c>
      <c r="F52" s="15">
        <f>Assumptions!$B$9/(1-(1-E52)*Assumptions!$B$24)</f>
        <v>327735.671</v>
      </c>
      <c r="G52" s="15">
        <f t="shared" si="2"/>
        <v>363.7641778</v>
      </c>
      <c r="H52" s="15">
        <f t="shared" si="3"/>
        <v>327371.9069</v>
      </c>
      <c r="I52" s="15">
        <f>H52*Assumptions!$B$24</f>
        <v>87735.67104</v>
      </c>
      <c r="J52" s="15">
        <f t="shared" si="4"/>
        <v>240000</v>
      </c>
      <c r="K52" s="15">
        <f>C52*Assumptions!$B$11</f>
        <v>-8977148.912</v>
      </c>
      <c r="L52" s="15">
        <f t="shared" si="5"/>
        <v>-109050983.6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49.0</v>
      </c>
      <c r="B53" s="2">
        <v>88.0</v>
      </c>
      <c r="C53" s="15">
        <f t="shared" si="6"/>
        <v>-109050983.6</v>
      </c>
      <c r="D53" s="15">
        <f t="shared" si="7"/>
        <v>-111075.1115</v>
      </c>
      <c r="E53" s="16">
        <f t="shared" si="1"/>
        <v>0.001018561299</v>
      </c>
      <c r="F53" s="15">
        <f>Assumptions!$B$9/(1-(1-E53)*Assumptions!$B$24)</f>
        <v>327746.6305</v>
      </c>
      <c r="G53" s="15">
        <f t="shared" si="2"/>
        <v>333.8300336</v>
      </c>
      <c r="H53" s="15">
        <f t="shared" si="3"/>
        <v>327412.8005</v>
      </c>
      <c r="I53" s="15">
        <f>H53*Assumptions!$B$24</f>
        <v>87746.63053</v>
      </c>
      <c r="J53" s="15">
        <f t="shared" si="4"/>
        <v>240000</v>
      </c>
      <c r="K53" s="15">
        <f>C53*Assumptions!$B$11</f>
        <v>-9814588.525</v>
      </c>
      <c r="L53" s="15">
        <f t="shared" si="5"/>
        <v>-119193318.8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50.0</v>
      </c>
      <c r="B54" s="2">
        <v>89.0</v>
      </c>
      <c r="C54" s="15">
        <f t="shared" si="6"/>
        <v>-119193318.8</v>
      </c>
      <c r="D54" s="15">
        <f t="shared" si="7"/>
        <v>-111408.9415</v>
      </c>
      <c r="E54" s="16">
        <f t="shared" si="1"/>
        <v>0.0009346911611</v>
      </c>
      <c r="F54" s="15">
        <f>Assumptions!$B$9/(1-(1-E54)*Assumptions!$B$24)</f>
        <v>327756.6911</v>
      </c>
      <c r="G54" s="15">
        <f t="shared" si="2"/>
        <v>306.3512821</v>
      </c>
      <c r="H54" s="15">
        <f t="shared" si="3"/>
        <v>327450.3398</v>
      </c>
      <c r="I54" s="15">
        <f>H54*Assumptions!$B$24</f>
        <v>87756.69106</v>
      </c>
      <c r="J54" s="15">
        <f t="shared" si="4"/>
        <v>240000</v>
      </c>
      <c r="K54" s="15">
        <f>C54*Assumptions!$B$11</f>
        <v>-10727398.69</v>
      </c>
      <c r="L54" s="15">
        <f t="shared" si="5"/>
        <v>-130248474.1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>
        <v>51.0</v>
      </c>
      <c r="B55" s="12">
        <v>90.0</v>
      </c>
      <c r="C55" s="13">
        <f t="shared" si="6"/>
        <v>-130248474.1</v>
      </c>
      <c r="D55" s="13">
        <f t="shared" si="7"/>
        <v>-111715.2928</v>
      </c>
      <c r="E55" s="14">
        <f t="shared" si="1"/>
        <v>0.0008577090329</v>
      </c>
      <c r="F55" s="13">
        <f>Assumptions!$B$9/(1-(1-E55)*Assumptions!$B$24)</f>
        <v>327765.9259</v>
      </c>
      <c r="G55" s="13">
        <f t="shared" si="2"/>
        <v>281.1277953</v>
      </c>
      <c r="H55" s="13">
        <f t="shared" si="3"/>
        <v>327484.7981</v>
      </c>
      <c r="I55" s="13">
        <f>H55*Assumptions!$B$24</f>
        <v>87765.92589</v>
      </c>
      <c r="J55" s="13">
        <f t="shared" si="4"/>
        <v>240000</v>
      </c>
      <c r="K55" s="13">
        <f>C55*Assumptions!$B$11</f>
        <v>-11722362.67</v>
      </c>
      <c r="L55" s="13">
        <f t="shared" si="5"/>
        <v>-142298602.7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>
        <v>52.0</v>
      </c>
      <c r="B56" s="2">
        <v>91.0</v>
      </c>
      <c r="C56" s="15">
        <f t="shared" si="6"/>
        <v>-142298602.7</v>
      </c>
      <c r="D56" s="15">
        <f t="shared" si="7"/>
        <v>-111996.4206</v>
      </c>
      <c r="E56" s="16">
        <f t="shared" si="1"/>
        <v>0.0007870521455</v>
      </c>
      <c r="F56" s="15">
        <f>Assumptions!$B$9/(1-(1-E56)*Assumptions!$B$24)</f>
        <v>327774.4024</v>
      </c>
      <c r="G56" s="15">
        <f t="shared" si="2"/>
        <v>257.9755466</v>
      </c>
      <c r="H56" s="15">
        <f t="shared" si="3"/>
        <v>327516.4268</v>
      </c>
      <c r="I56" s="15">
        <f>H56*Assumptions!$B$24</f>
        <v>87774.4024</v>
      </c>
      <c r="J56" s="15">
        <f t="shared" si="4"/>
        <v>240000</v>
      </c>
      <c r="K56" s="15">
        <f>C56*Assumptions!$B$11</f>
        <v>-12806874.25</v>
      </c>
      <c r="L56" s="15">
        <f t="shared" si="5"/>
        <v>-155433251.4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53.0</v>
      </c>
      <c r="B57" s="2">
        <v>92.0</v>
      </c>
      <c r="C57" s="15">
        <f t="shared" si="6"/>
        <v>-155433251.4</v>
      </c>
      <c r="D57" s="15">
        <f t="shared" si="7"/>
        <v>-112254.3961</v>
      </c>
      <c r="E57" s="16">
        <f t="shared" si="1"/>
        <v>0.0007222032296</v>
      </c>
      <c r="F57" s="15">
        <f>Assumptions!$B$9/(1-(1-E57)*Assumptions!$B$24)</f>
        <v>327782.1825</v>
      </c>
      <c r="G57" s="15">
        <f t="shared" si="2"/>
        <v>236.7253508</v>
      </c>
      <c r="H57" s="15">
        <f t="shared" si="3"/>
        <v>327545.4572</v>
      </c>
      <c r="I57" s="15">
        <f>H57*Assumptions!$B$24</f>
        <v>87782.18252</v>
      </c>
      <c r="J57" s="15">
        <f t="shared" si="4"/>
        <v>240000</v>
      </c>
      <c r="K57" s="15">
        <f>C57*Assumptions!$B$11</f>
        <v>-13988992.63</v>
      </c>
      <c r="L57" s="15">
        <f t="shared" si="5"/>
        <v>-169750026.2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54.0</v>
      </c>
      <c r="B58" s="2">
        <v>93.0</v>
      </c>
      <c r="C58" s="15">
        <f t="shared" si="6"/>
        <v>-169750026.2</v>
      </c>
      <c r="D58" s="15">
        <f t="shared" si="7"/>
        <v>-112491.1215</v>
      </c>
      <c r="E58" s="16">
        <f t="shared" si="1"/>
        <v>0.0006626869168</v>
      </c>
      <c r="F58" s="15">
        <f>Assumptions!$B$9/(1-(1-E58)*Assumptions!$B$24)</f>
        <v>327789.3232</v>
      </c>
      <c r="G58" s="15">
        <f t="shared" si="2"/>
        <v>217.2216959</v>
      </c>
      <c r="H58" s="15">
        <f t="shared" si="3"/>
        <v>327572.1015</v>
      </c>
      <c r="I58" s="15">
        <f>H58*Assumptions!$B$24</f>
        <v>87789.3232</v>
      </c>
      <c r="J58" s="15">
        <f t="shared" si="4"/>
        <v>240000</v>
      </c>
      <c r="K58" s="15">
        <f>C58*Assumptions!$B$11</f>
        <v>-15277502.36</v>
      </c>
      <c r="L58" s="15">
        <f t="shared" si="5"/>
        <v>-185355317.9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>
        <v>55.0</v>
      </c>
      <c r="B59" s="2">
        <v>94.0</v>
      </c>
      <c r="C59" s="15">
        <f t="shared" si="6"/>
        <v>-185355317.9</v>
      </c>
      <c r="D59" s="15">
        <f t="shared" si="7"/>
        <v>-112708.3432</v>
      </c>
      <c r="E59" s="16">
        <f t="shared" si="1"/>
        <v>0.0006080664125</v>
      </c>
      <c r="F59" s="15">
        <f>Assumptions!$B$9/(1-(1-E59)*Assumptions!$B$24)</f>
        <v>327795.8768</v>
      </c>
      <c r="G59" s="15">
        <f t="shared" si="2"/>
        <v>199.3216628</v>
      </c>
      <c r="H59" s="15">
        <f t="shared" si="3"/>
        <v>327596.5551</v>
      </c>
      <c r="I59" s="15">
        <f>H59*Assumptions!$B$24</f>
        <v>87795.87677</v>
      </c>
      <c r="J59" s="15">
        <f t="shared" si="4"/>
        <v>240000</v>
      </c>
      <c r="K59" s="15">
        <f>C59*Assumptions!$B$11</f>
        <v>-16681978.61</v>
      </c>
      <c r="L59" s="15">
        <f t="shared" si="5"/>
        <v>-202365092.4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56.0</v>
      </c>
      <c r="B60" s="2">
        <v>95.0</v>
      </c>
      <c r="C60" s="15">
        <f t="shared" si="6"/>
        <v>-202365092.4</v>
      </c>
      <c r="D60" s="15">
        <f t="shared" si="7"/>
        <v>-112907.6648</v>
      </c>
      <c r="E60" s="16">
        <f t="shared" si="1"/>
        <v>0.0005579404211</v>
      </c>
      <c r="F60" s="15">
        <f>Assumptions!$B$9/(1-(1-E60)*Assumptions!$B$24)</f>
        <v>327801.8913</v>
      </c>
      <c r="G60" s="15">
        <f t="shared" si="2"/>
        <v>182.8939253</v>
      </c>
      <c r="H60" s="15">
        <f t="shared" si="3"/>
        <v>327618.9974</v>
      </c>
      <c r="I60" s="15">
        <f>H60*Assumptions!$B$24</f>
        <v>87801.8913</v>
      </c>
      <c r="J60" s="15">
        <f t="shared" si="4"/>
        <v>240000</v>
      </c>
      <c r="K60" s="15">
        <f>C60*Assumptions!$B$11</f>
        <v>-18212858.31</v>
      </c>
      <c r="L60" s="15">
        <f t="shared" si="5"/>
        <v>-220905752.6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>
        <v>57.0</v>
      </c>
      <c r="B61" s="2">
        <v>96.0</v>
      </c>
      <c r="C61" s="15">
        <f t="shared" si="6"/>
        <v>-220905752.6</v>
      </c>
      <c r="D61" s="15">
        <f t="shared" si="7"/>
        <v>-113090.5588</v>
      </c>
      <c r="E61" s="16">
        <f t="shared" si="1"/>
        <v>0.0005119403069</v>
      </c>
      <c r="F61" s="15">
        <f>Assumptions!$B$9/(1-(1-E61)*Assumptions!$B$24)</f>
        <v>327807.411</v>
      </c>
      <c r="G61" s="15">
        <f t="shared" si="2"/>
        <v>167.8178266</v>
      </c>
      <c r="H61" s="15">
        <f t="shared" si="3"/>
        <v>327639.5931</v>
      </c>
      <c r="I61" s="15">
        <f>H61*Assumptions!$B$24</f>
        <v>87807.41096</v>
      </c>
      <c r="J61" s="15">
        <f t="shared" si="4"/>
        <v>240000</v>
      </c>
      <c r="K61" s="15">
        <f>C61*Assumptions!$B$11</f>
        <v>-19881517.73</v>
      </c>
      <c r="L61" s="15">
        <f t="shared" si="5"/>
        <v>-241115077.7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58.0</v>
      </c>
      <c r="B62" s="2">
        <v>97.0</v>
      </c>
      <c r="C62" s="15">
        <f t="shared" si="6"/>
        <v>-241115077.7</v>
      </c>
      <c r="D62" s="15">
        <f t="shared" si="7"/>
        <v>-113258.3766</v>
      </c>
      <c r="E62" s="16">
        <f t="shared" si="1"/>
        <v>0.0004697274748</v>
      </c>
      <c r="F62" s="15">
        <f>Assumptions!$B$9/(1-(1-E62)*Assumptions!$B$24)</f>
        <v>327812.4763</v>
      </c>
      <c r="G62" s="15">
        <f t="shared" si="2"/>
        <v>153.9825267</v>
      </c>
      <c r="H62" s="15">
        <f t="shared" si="3"/>
        <v>327658.4938</v>
      </c>
      <c r="I62" s="15">
        <f>H62*Assumptions!$B$24</f>
        <v>87812.47634</v>
      </c>
      <c r="J62" s="15">
        <f t="shared" si="4"/>
        <v>240000</v>
      </c>
      <c r="K62" s="15">
        <f>C62*Assumptions!$B$11</f>
        <v>-21700356.99</v>
      </c>
      <c r="L62" s="15">
        <f t="shared" si="5"/>
        <v>-263143247.2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59.0</v>
      </c>
      <c r="B63" s="2">
        <v>98.0</v>
      </c>
      <c r="C63" s="15">
        <f t="shared" si="6"/>
        <v>-263143247.2</v>
      </c>
      <c r="D63" s="15">
        <f t="shared" si="7"/>
        <v>-113412.3591</v>
      </c>
      <c r="E63" s="16">
        <f t="shared" si="1"/>
        <v>0.0004309909539</v>
      </c>
      <c r="F63" s="15">
        <f>Assumptions!$B$9/(1-(1-E63)*Assumptions!$B$24)</f>
        <v>327817.1247</v>
      </c>
      <c r="G63" s="15">
        <f t="shared" si="2"/>
        <v>141.2862153</v>
      </c>
      <c r="H63" s="15">
        <f t="shared" si="3"/>
        <v>327675.8385</v>
      </c>
      <c r="I63" s="15">
        <f>H63*Assumptions!$B$24</f>
        <v>87817.12472</v>
      </c>
      <c r="J63" s="15">
        <f t="shared" si="4"/>
        <v>240000</v>
      </c>
      <c r="K63" s="15">
        <f>C63*Assumptions!$B$11</f>
        <v>-23682892.25</v>
      </c>
      <c r="L63" s="15">
        <f t="shared" si="5"/>
        <v>-287153956.6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>
        <v>60.0</v>
      </c>
      <c r="B64" s="2">
        <v>99.0</v>
      </c>
      <c r="C64" s="15">
        <f t="shared" si="6"/>
        <v>-287153956.6</v>
      </c>
      <c r="D64" s="15">
        <f t="shared" si="7"/>
        <v>-113553.6453</v>
      </c>
      <c r="E64" s="16">
        <f t="shared" si="1"/>
        <v>0.0003954451706</v>
      </c>
      <c r="F64" s="15">
        <f>Assumptions!$B$9/(1-(1-E64)*Assumptions!$B$24)</f>
        <v>327821.3903</v>
      </c>
      <c r="G64" s="15">
        <f t="shared" si="2"/>
        <v>129.6353856</v>
      </c>
      <c r="H64" s="15">
        <f t="shared" si="3"/>
        <v>327691.7549</v>
      </c>
      <c r="I64" s="15">
        <f>H64*Assumptions!$B$24</f>
        <v>87821.39032</v>
      </c>
      <c r="J64" s="15">
        <f t="shared" si="4"/>
        <v>240000</v>
      </c>
      <c r="K64" s="15">
        <f>C64*Assumptions!$B$11</f>
        <v>-25843856.09</v>
      </c>
      <c r="L64" s="15">
        <f t="shared" si="5"/>
        <v>-313325634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>
        <v>61.0</v>
      </c>
      <c r="B65" s="12">
        <v>100.0</v>
      </c>
      <c r="C65" s="13">
        <f t="shared" si="6"/>
        <v>-313325634</v>
      </c>
      <c r="D65" s="13">
        <f t="shared" si="7"/>
        <v>-113683.2807</v>
      </c>
      <c r="E65" s="14">
        <f t="shared" si="1"/>
        <v>0.0003628278965</v>
      </c>
      <c r="F65" s="13">
        <f>Assumptions!$B$9/(1-(1-E65)*Assumptions!$B$24)</f>
        <v>327825.3046</v>
      </c>
      <c r="G65" s="13">
        <f t="shared" si="2"/>
        <v>118.9441657</v>
      </c>
      <c r="H65" s="13">
        <f t="shared" si="3"/>
        <v>327706.3604</v>
      </c>
      <c r="I65" s="13">
        <f>H65*Assumptions!$B$24</f>
        <v>87825.3046</v>
      </c>
      <c r="J65" s="13">
        <f t="shared" si="4"/>
        <v>240000</v>
      </c>
      <c r="K65" s="13">
        <f>C65*Assumptions!$B$11</f>
        <v>-28199307.06</v>
      </c>
      <c r="L65" s="13">
        <f t="shared" si="5"/>
        <v>-341852766.4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6.0"/>
    <col customWidth="1" min="3" max="10" width="22.0"/>
    <col customWidth="1" min="11" max="26" width="8.71"/>
  </cols>
  <sheetData>
    <row r="1">
      <c r="A1" s="3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19</v>
      </c>
      <c r="B4" s="11" t="s">
        <v>20</v>
      </c>
      <c r="C4" s="11" t="s">
        <v>32</v>
      </c>
      <c r="D4" s="11" t="s">
        <v>29</v>
      </c>
      <c r="E4" s="11" t="s">
        <v>33</v>
      </c>
      <c r="F4" s="11" t="s">
        <v>34</v>
      </c>
      <c r="G4" s="11" t="s">
        <v>35</v>
      </c>
      <c r="H4" s="11" t="s">
        <v>36</v>
      </c>
      <c r="I4" s="11" t="s">
        <v>37</v>
      </c>
      <c r="J4" s="11" t="s">
        <v>38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>
        <v>1.0</v>
      </c>
      <c r="B5" s="12">
        <v>40.0</v>
      </c>
      <c r="C5" s="13">
        <f>Assumptions!$B$5</f>
        <v>1700000</v>
      </c>
      <c r="D5" s="13">
        <f>C5*Assumptions!$B$11</f>
        <v>153000</v>
      </c>
      <c r="E5" s="13">
        <f t="shared" ref="E5:E65" si="1">C5+D5</f>
        <v>1853000</v>
      </c>
      <c r="F5" s="13">
        <f>Assumptions!$B$9</f>
        <v>240000</v>
      </c>
      <c r="G5" s="13">
        <f>F5</f>
        <v>240000</v>
      </c>
      <c r="H5" s="13">
        <f>G5*Assumptions!$B$12</f>
        <v>12000</v>
      </c>
      <c r="I5" s="13">
        <f>E5*Assumptions!$B$13</f>
        <v>1297100</v>
      </c>
      <c r="J5" s="13">
        <f t="shared" ref="J5:J65" si="2">I5-G5</f>
        <v>1057100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2.0</v>
      </c>
      <c r="B6" s="2">
        <v>41.0</v>
      </c>
      <c r="C6" s="15">
        <f t="shared" ref="C6:C65" si="3">E5</f>
        <v>1853000</v>
      </c>
      <c r="D6" s="15">
        <f>C6*Assumptions!$B$11</f>
        <v>166770</v>
      </c>
      <c r="E6" s="15">
        <f t="shared" si="1"/>
        <v>2019770</v>
      </c>
      <c r="F6" s="15">
        <f>Assumptions!$B$9</f>
        <v>240000</v>
      </c>
      <c r="G6" s="15">
        <f t="shared" ref="G6:G65" si="4">G5+F6+H5</f>
        <v>492000</v>
      </c>
      <c r="H6" s="15">
        <f>G6*Assumptions!$B$12</f>
        <v>24600</v>
      </c>
      <c r="I6" s="15">
        <f>E6*Assumptions!$B$13</f>
        <v>1413839</v>
      </c>
      <c r="J6" s="15">
        <f t="shared" si="2"/>
        <v>921839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3.0</v>
      </c>
      <c r="B7" s="2">
        <v>42.0</v>
      </c>
      <c r="C7" s="15">
        <f t="shared" si="3"/>
        <v>2019770</v>
      </c>
      <c r="D7" s="15">
        <f>C7*Assumptions!$B$11</f>
        <v>181779.3</v>
      </c>
      <c r="E7" s="15">
        <f t="shared" si="1"/>
        <v>2201549.3</v>
      </c>
      <c r="F7" s="15">
        <f>Assumptions!$B$9</f>
        <v>240000</v>
      </c>
      <c r="G7" s="15">
        <f t="shared" si="4"/>
        <v>756600</v>
      </c>
      <c r="H7" s="15">
        <f>G7*Assumptions!$B$12</f>
        <v>37830</v>
      </c>
      <c r="I7" s="15">
        <f>E7*Assumptions!$B$13</f>
        <v>1541084.51</v>
      </c>
      <c r="J7" s="15">
        <f t="shared" si="2"/>
        <v>784484.51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4.0</v>
      </c>
      <c r="B8" s="2">
        <v>43.0</v>
      </c>
      <c r="C8" s="15">
        <f t="shared" si="3"/>
        <v>2201549.3</v>
      </c>
      <c r="D8" s="15">
        <f>C8*Assumptions!$B$11</f>
        <v>198139.437</v>
      </c>
      <c r="E8" s="15">
        <f t="shared" si="1"/>
        <v>2399688.737</v>
      </c>
      <c r="F8" s="15">
        <f>Assumptions!$B$9</f>
        <v>240000</v>
      </c>
      <c r="G8" s="15">
        <f t="shared" si="4"/>
        <v>1034430</v>
      </c>
      <c r="H8" s="15">
        <f>G8*Assumptions!$B$12</f>
        <v>51721.5</v>
      </c>
      <c r="I8" s="15">
        <f>E8*Assumptions!$B$13</f>
        <v>1679782.116</v>
      </c>
      <c r="J8" s="15">
        <f t="shared" si="2"/>
        <v>645352.1159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5.0</v>
      </c>
      <c r="B9" s="2">
        <v>44.0</v>
      </c>
      <c r="C9" s="15">
        <f t="shared" si="3"/>
        <v>2399688.737</v>
      </c>
      <c r="D9" s="15">
        <f>C9*Assumptions!$B$11</f>
        <v>215971.9863</v>
      </c>
      <c r="E9" s="15">
        <f t="shared" si="1"/>
        <v>2615660.723</v>
      </c>
      <c r="F9" s="15">
        <f>Assumptions!$B$9</f>
        <v>240000</v>
      </c>
      <c r="G9" s="15">
        <f t="shared" si="4"/>
        <v>1326151.5</v>
      </c>
      <c r="H9" s="15">
        <f>G9*Assumptions!$B$12</f>
        <v>66307.575</v>
      </c>
      <c r="I9" s="15">
        <f>E9*Assumptions!$B$13</f>
        <v>1830962.506</v>
      </c>
      <c r="J9" s="15">
        <f t="shared" si="2"/>
        <v>504811.0063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6.0</v>
      </c>
      <c r="B10" s="2">
        <v>45.0</v>
      </c>
      <c r="C10" s="15">
        <f t="shared" si="3"/>
        <v>2615660.723</v>
      </c>
      <c r="D10" s="15">
        <f>C10*Assumptions!$B$11</f>
        <v>235409.4651</v>
      </c>
      <c r="E10" s="15">
        <f t="shared" si="1"/>
        <v>2851070.188</v>
      </c>
      <c r="F10" s="15">
        <f>Assumptions!$B$9</f>
        <v>240000</v>
      </c>
      <c r="G10" s="15">
        <f t="shared" si="4"/>
        <v>1632459.075</v>
      </c>
      <c r="H10" s="15">
        <f>G10*Assumptions!$B$12</f>
        <v>81622.95375</v>
      </c>
      <c r="I10" s="15">
        <f>E10*Assumptions!$B$13</f>
        <v>1995749.132</v>
      </c>
      <c r="J10" s="15">
        <f t="shared" si="2"/>
        <v>363290.0569</v>
      </c>
      <c r="K10" s="2"/>
      <c r="L10" s="17">
        <f>E10-G10-(G10*0.75*20%)</f>
        <v>973742.2522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7.0</v>
      </c>
      <c r="B11" s="2">
        <v>46.0</v>
      </c>
      <c r="C11" s="15">
        <f t="shared" si="3"/>
        <v>2851070.188</v>
      </c>
      <c r="D11" s="15">
        <f>C11*Assumptions!$B$11</f>
        <v>256596.317</v>
      </c>
      <c r="E11" s="15">
        <f t="shared" si="1"/>
        <v>3107666.505</v>
      </c>
      <c r="F11" s="15">
        <f>Assumptions!$B$9</f>
        <v>240000</v>
      </c>
      <c r="G11" s="15">
        <f t="shared" si="4"/>
        <v>1954082.029</v>
      </c>
      <c r="H11" s="15">
        <f>G11*Assumptions!$B$12</f>
        <v>97704.10144</v>
      </c>
      <c r="I11" s="15">
        <f>E11*Assumptions!$B$13</f>
        <v>2175366.554</v>
      </c>
      <c r="J11" s="15">
        <f t="shared" si="2"/>
        <v>221284.525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8.0</v>
      </c>
      <c r="B12" s="2">
        <v>47.0</v>
      </c>
      <c r="C12" s="15">
        <f t="shared" si="3"/>
        <v>3107666.505</v>
      </c>
      <c r="D12" s="15">
        <f>C12*Assumptions!$B$11</f>
        <v>279689.9855</v>
      </c>
      <c r="E12" s="15">
        <f t="shared" si="1"/>
        <v>3387356.491</v>
      </c>
      <c r="F12" s="15">
        <f>Assumptions!$B$9</f>
        <v>240000</v>
      </c>
      <c r="G12" s="15">
        <f t="shared" si="4"/>
        <v>2291786.13</v>
      </c>
      <c r="H12" s="15">
        <f>G12*Assumptions!$B$12</f>
        <v>114589.3065</v>
      </c>
      <c r="I12" s="15">
        <f>E12*Assumptions!$B$13</f>
        <v>2371149.544</v>
      </c>
      <c r="J12" s="15">
        <f t="shared" si="2"/>
        <v>79363.41342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9.0</v>
      </c>
      <c r="B13" s="2">
        <v>48.0</v>
      </c>
      <c r="C13" s="15">
        <f t="shared" si="3"/>
        <v>3387356.491</v>
      </c>
      <c r="D13" s="15">
        <f>C13*Assumptions!$B$11</f>
        <v>304862.0842</v>
      </c>
      <c r="E13" s="15">
        <f t="shared" si="1"/>
        <v>3692218.575</v>
      </c>
      <c r="F13" s="15">
        <f>Assumptions!$B$9</f>
        <v>240000</v>
      </c>
      <c r="G13" s="15">
        <f t="shared" si="4"/>
        <v>2646375.437</v>
      </c>
      <c r="H13" s="15">
        <f>G13*Assumptions!$B$12</f>
        <v>132318.7718</v>
      </c>
      <c r="I13" s="15">
        <f>E13*Assumptions!$B$13</f>
        <v>2584553.003</v>
      </c>
      <c r="J13" s="15">
        <f t="shared" si="2"/>
        <v>-61822.43416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10.0</v>
      </c>
      <c r="B14" s="2">
        <v>49.0</v>
      </c>
      <c r="C14" s="15">
        <f t="shared" si="3"/>
        <v>3692218.575</v>
      </c>
      <c r="D14" s="15">
        <f>C14*Assumptions!$B$11</f>
        <v>332299.6718</v>
      </c>
      <c r="E14" s="15">
        <f t="shared" si="1"/>
        <v>4024518.247</v>
      </c>
      <c r="F14" s="15">
        <f>Assumptions!$B$9</f>
        <v>240000</v>
      </c>
      <c r="G14" s="15">
        <f t="shared" si="4"/>
        <v>3018694.209</v>
      </c>
      <c r="H14" s="15">
        <f>G14*Assumptions!$B$12</f>
        <v>150934.7104</v>
      </c>
      <c r="I14" s="15">
        <f>E14*Assumptions!$B$13</f>
        <v>2817162.773</v>
      </c>
      <c r="J14" s="15">
        <f t="shared" si="2"/>
        <v>-201531.4358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>
        <v>11.0</v>
      </c>
      <c r="B15" s="12">
        <v>50.0</v>
      </c>
      <c r="C15" s="13">
        <f t="shared" si="3"/>
        <v>4024518.247</v>
      </c>
      <c r="D15" s="13">
        <f>C15*Assumptions!$B$11</f>
        <v>362206.6422</v>
      </c>
      <c r="E15" s="13">
        <f t="shared" si="1"/>
        <v>4386724.889</v>
      </c>
      <c r="F15" s="13">
        <f>Assumptions!$B$9</f>
        <v>240000</v>
      </c>
      <c r="G15" s="13">
        <f t="shared" si="4"/>
        <v>3409628.919</v>
      </c>
      <c r="H15" s="13">
        <f>G15*Assumptions!$B$12</f>
        <v>170481.4459</v>
      </c>
      <c r="I15" s="13">
        <f>E15*Assumptions!$B$13</f>
        <v>3070707.422</v>
      </c>
      <c r="J15" s="13">
        <f t="shared" si="2"/>
        <v>-338921.4966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12.0</v>
      </c>
      <c r="B16" s="2">
        <v>51.0</v>
      </c>
      <c r="C16" s="15">
        <f t="shared" si="3"/>
        <v>4386724.889</v>
      </c>
      <c r="D16" s="15">
        <f>C16*Assumptions!$B$11</f>
        <v>394805.24</v>
      </c>
      <c r="E16" s="15">
        <f t="shared" si="1"/>
        <v>4781530.129</v>
      </c>
      <c r="F16" s="15">
        <f>Assumptions!$B$9</f>
        <v>240000</v>
      </c>
      <c r="G16" s="15">
        <f t="shared" si="4"/>
        <v>3820110.365</v>
      </c>
      <c r="H16" s="15">
        <f>G16*Assumptions!$B$12</f>
        <v>191005.5182</v>
      </c>
      <c r="I16" s="15">
        <f>E16*Assumptions!$B$13</f>
        <v>3347071.09</v>
      </c>
      <c r="J16" s="15">
        <f t="shared" si="2"/>
        <v>-473039.2746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13.0</v>
      </c>
      <c r="B17" s="2">
        <v>52.0</v>
      </c>
      <c r="C17" s="15">
        <f t="shared" si="3"/>
        <v>4781530.129</v>
      </c>
      <c r="D17" s="15">
        <f>C17*Assumptions!$B$11</f>
        <v>430337.7116</v>
      </c>
      <c r="E17" s="15">
        <f t="shared" si="1"/>
        <v>5211867.841</v>
      </c>
      <c r="F17" s="15">
        <f>Assumptions!$B$9</f>
        <v>240000</v>
      </c>
      <c r="G17" s="15">
        <f t="shared" si="4"/>
        <v>4251115.883</v>
      </c>
      <c r="H17" s="15">
        <f>G17*Assumptions!$B$12</f>
        <v>212555.7942</v>
      </c>
      <c r="I17" s="15">
        <f>E17*Assumptions!$B$13</f>
        <v>3648307.488</v>
      </c>
      <c r="J17" s="15">
        <f t="shared" si="2"/>
        <v>-602808.3947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14.0</v>
      </c>
      <c r="B18" s="2">
        <v>53.0</v>
      </c>
      <c r="C18" s="15">
        <f t="shared" si="3"/>
        <v>5211867.841</v>
      </c>
      <c r="D18" s="15">
        <f>C18*Assumptions!$B$11</f>
        <v>469068.1057</v>
      </c>
      <c r="E18" s="15">
        <f t="shared" si="1"/>
        <v>5680935.946</v>
      </c>
      <c r="F18" s="15">
        <f>Assumptions!$B$9</f>
        <v>240000</v>
      </c>
      <c r="G18" s="15">
        <f t="shared" si="4"/>
        <v>4703671.677</v>
      </c>
      <c r="H18" s="15">
        <f>G18*Assumptions!$B$12</f>
        <v>235183.5839</v>
      </c>
      <c r="I18" s="15">
        <f>E18*Assumptions!$B$13</f>
        <v>3976655.162</v>
      </c>
      <c r="J18" s="15">
        <f t="shared" si="2"/>
        <v>-727016.5149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15.0</v>
      </c>
      <c r="B19" s="2">
        <v>54.0</v>
      </c>
      <c r="C19" s="15">
        <f t="shared" si="3"/>
        <v>5680935.946</v>
      </c>
      <c r="D19" s="15">
        <f>C19*Assumptions!$B$11</f>
        <v>511284.2352</v>
      </c>
      <c r="E19" s="15">
        <f t="shared" si="1"/>
        <v>6192220.181</v>
      </c>
      <c r="F19" s="15">
        <f>Assumptions!$B$9</f>
        <v>240000</v>
      </c>
      <c r="G19" s="15">
        <f t="shared" si="4"/>
        <v>5178855.261</v>
      </c>
      <c r="H19" s="15">
        <f>G19*Assumptions!$B$12</f>
        <v>258942.7631</v>
      </c>
      <c r="I19" s="15">
        <f>E19*Assumptions!$B$13</f>
        <v>4334554.127</v>
      </c>
      <c r="J19" s="15">
        <f t="shared" si="2"/>
        <v>-844301.1341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16.0</v>
      </c>
      <c r="B20" s="2">
        <v>55.0</v>
      </c>
      <c r="C20" s="15">
        <f t="shared" si="3"/>
        <v>6192220.181</v>
      </c>
      <c r="D20" s="15">
        <f>C20*Assumptions!$B$11</f>
        <v>557299.8163</v>
      </c>
      <c r="E20" s="15">
        <f t="shared" si="1"/>
        <v>6749519.998</v>
      </c>
      <c r="F20" s="15">
        <f>Assumptions!$B$9</f>
        <v>240000</v>
      </c>
      <c r="G20" s="15">
        <f t="shared" si="4"/>
        <v>5677798.024</v>
      </c>
      <c r="H20" s="15">
        <f>G20*Assumptions!$B$12</f>
        <v>283889.9012</v>
      </c>
      <c r="I20" s="15">
        <f>E20*Assumptions!$B$13</f>
        <v>4724663.998</v>
      </c>
      <c r="J20" s="15">
        <f t="shared" si="2"/>
        <v>-953134.0258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17.0</v>
      </c>
      <c r="B21" s="2">
        <v>56.0</v>
      </c>
      <c r="C21" s="15">
        <f t="shared" si="3"/>
        <v>6749519.998</v>
      </c>
      <c r="D21" s="15">
        <f>C21*Assumptions!$B$11</f>
        <v>607456.7998</v>
      </c>
      <c r="E21" s="15">
        <f t="shared" si="1"/>
        <v>7356976.798</v>
      </c>
      <c r="F21" s="15">
        <f>Assumptions!$B$9</f>
        <v>240000</v>
      </c>
      <c r="G21" s="15">
        <f t="shared" si="4"/>
        <v>6201687.925</v>
      </c>
      <c r="H21" s="15">
        <f>G21*Assumptions!$B$12</f>
        <v>310084.3963</v>
      </c>
      <c r="I21" s="15">
        <f>E21*Assumptions!$B$13</f>
        <v>5149883.758</v>
      </c>
      <c r="J21" s="15">
        <f t="shared" si="2"/>
        <v>-1051804.167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18.0</v>
      </c>
      <c r="B22" s="2">
        <v>57.0</v>
      </c>
      <c r="C22" s="15">
        <f t="shared" si="3"/>
        <v>7356976.798</v>
      </c>
      <c r="D22" s="15">
        <f>C22*Assumptions!$B$11</f>
        <v>662127.9118</v>
      </c>
      <c r="E22" s="15">
        <f t="shared" si="1"/>
        <v>8019104.709</v>
      </c>
      <c r="F22" s="15">
        <f>Assumptions!$B$9</f>
        <v>240000</v>
      </c>
      <c r="G22" s="15">
        <f t="shared" si="4"/>
        <v>6751772.322</v>
      </c>
      <c r="H22" s="15">
        <f>G22*Assumptions!$B$12</f>
        <v>337588.6161</v>
      </c>
      <c r="I22" s="15">
        <f>E22*Assumptions!$B$13</f>
        <v>5613373.297</v>
      </c>
      <c r="J22" s="15">
        <f t="shared" si="2"/>
        <v>-1138399.025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19.0</v>
      </c>
      <c r="B23" s="2">
        <v>58.0</v>
      </c>
      <c r="C23" s="15">
        <f t="shared" si="3"/>
        <v>8019104.709</v>
      </c>
      <c r="D23" s="15">
        <f>C23*Assumptions!$B$11</f>
        <v>721719.4238</v>
      </c>
      <c r="E23" s="15">
        <f t="shared" si="1"/>
        <v>8740824.133</v>
      </c>
      <c r="F23" s="15">
        <f>Assumptions!$B$9</f>
        <v>240000</v>
      </c>
      <c r="G23" s="15">
        <f t="shared" si="4"/>
        <v>7329360.938</v>
      </c>
      <c r="H23" s="15">
        <f>G23*Assumptions!$B$12</f>
        <v>366468.0469</v>
      </c>
      <c r="I23" s="15">
        <f>E23*Assumptions!$B$13</f>
        <v>6118576.893</v>
      </c>
      <c r="J23" s="15">
        <f t="shared" si="2"/>
        <v>-1210784.045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20.0</v>
      </c>
      <c r="B24" s="2">
        <v>59.0</v>
      </c>
      <c r="C24" s="15">
        <f t="shared" si="3"/>
        <v>8740824.133</v>
      </c>
      <c r="D24" s="15">
        <f>C24*Assumptions!$B$11</f>
        <v>786674.172</v>
      </c>
      <c r="E24" s="15">
        <f t="shared" si="1"/>
        <v>9527498.305</v>
      </c>
      <c r="F24" s="15">
        <f>Assumptions!$B$9</f>
        <v>240000</v>
      </c>
      <c r="G24" s="15">
        <f t="shared" si="4"/>
        <v>7935828.985</v>
      </c>
      <c r="H24" s="15">
        <f>G24*Assumptions!$B$12</f>
        <v>396791.4492</v>
      </c>
      <c r="I24" s="15">
        <f>E24*Assumptions!$B$13</f>
        <v>6669248.814</v>
      </c>
      <c r="J24" s="15">
        <f t="shared" si="2"/>
        <v>-1266580.171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>
        <v>21.0</v>
      </c>
      <c r="B25" s="12">
        <v>60.0</v>
      </c>
      <c r="C25" s="13">
        <f t="shared" si="3"/>
        <v>9527498.305</v>
      </c>
      <c r="D25" s="13">
        <f>C25*Assumptions!$B$11</f>
        <v>857474.8475</v>
      </c>
      <c r="E25" s="13">
        <f t="shared" si="1"/>
        <v>10384973.15</v>
      </c>
      <c r="F25" s="13">
        <f>Assumptions!$B$9</f>
        <v>240000</v>
      </c>
      <c r="G25" s="13">
        <f t="shared" si="4"/>
        <v>8572620.434</v>
      </c>
      <c r="H25" s="13">
        <f>G25*Assumptions!$B$12</f>
        <v>428631.0217</v>
      </c>
      <c r="I25" s="13">
        <f>E25*Assumptions!$B$13</f>
        <v>7269481.207</v>
      </c>
      <c r="J25" s="13">
        <f t="shared" si="2"/>
        <v>-1303139.227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22.0</v>
      </c>
      <c r="B26" s="2">
        <v>61.0</v>
      </c>
      <c r="C26" s="15">
        <f t="shared" si="3"/>
        <v>10384973.15</v>
      </c>
      <c r="D26" s="15">
        <f>C26*Assumptions!$B$11</f>
        <v>934647.5837</v>
      </c>
      <c r="E26" s="15">
        <f t="shared" si="1"/>
        <v>11319620.74</v>
      </c>
      <c r="F26" s="15">
        <f>Assumptions!$B$9</f>
        <v>240000</v>
      </c>
      <c r="G26" s="15">
        <f t="shared" si="4"/>
        <v>9241251.456</v>
      </c>
      <c r="H26" s="15">
        <f>G26*Assumptions!$B$12</f>
        <v>462062.5728</v>
      </c>
      <c r="I26" s="15">
        <f>E26*Assumptions!$B$13</f>
        <v>7923734.516</v>
      </c>
      <c r="J26" s="15">
        <f t="shared" si="2"/>
        <v>-1317516.94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23.0</v>
      </c>
      <c r="B27" s="2">
        <v>62.0</v>
      </c>
      <c r="C27" s="15">
        <f t="shared" si="3"/>
        <v>11319620.74</v>
      </c>
      <c r="D27" s="15">
        <f>C27*Assumptions!$B$11</f>
        <v>1018765.866</v>
      </c>
      <c r="E27" s="15">
        <f t="shared" si="1"/>
        <v>12338386.6</v>
      </c>
      <c r="F27" s="15">
        <f>Assumptions!$B$9</f>
        <v>240000</v>
      </c>
      <c r="G27" s="15">
        <f t="shared" si="4"/>
        <v>9943314.028</v>
      </c>
      <c r="H27" s="15">
        <f>G27*Assumptions!$B$12</f>
        <v>497165.7014</v>
      </c>
      <c r="I27" s="15">
        <f>E27*Assumptions!$B$13</f>
        <v>8636870.622</v>
      </c>
      <c r="J27" s="15">
        <f t="shared" si="2"/>
        <v>-1306443.407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24.0</v>
      </c>
      <c r="B28" s="2">
        <v>63.0</v>
      </c>
      <c r="C28" s="15">
        <f t="shared" si="3"/>
        <v>12338386.6</v>
      </c>
      <c r="D28" s="15">
        <f>C28*Assumptions!$B$11</f>
        <v>1110454.794</v>
      </c>
      <c r="E28" s="15">
        <f t="shared" si="1"/>
        <v>13448841.4</v>
      </c>
      <c r="F28" s="15">
        <f>Assumptions!$B$9</f>
        <v>240000</v>
      </c>
      <c r="G28" s="15">
        <f t="shared" si="4"/>
        <v>10680479.73</v>
      </c>
      <c r="H28" s="15">
        <f>G28*Assumptions!$B$12</f>
        <v>534023.9865</v>
      </c>
      <c r="I28" s="15">
        <f>E28*Assumptions!$B$13</f>
        <v>9414188.978</v>
      </c>
      <c r="J28" s="15">
        <f t="shared" si="2"/>
        <v>-1266290.752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25.0</v>
      </c>
      <c r="B29" s="2">
        <v>64.0</v>
      </c>
      <c r="C29" s="15">
        <f t="shared" si="3"/>
        <v>13448841.4</v>
      </c>
      <c r="D29" s="15">
        <f>C29*Assumptions!$B$11</f>
        <v>1210395.726</v>
      </c>
      <c r="E29" s="15">
        <f t="shared" si="1"/>
        <v>14659237.12</v>
      </c>
      <c r="F29" s="15">
        <f>Assumptions!$B$9</f>
        <v>240000</v>
      </c>
      <c r="G29" s="15">
        <f t="shared" si="4"/>
        <v>11454503.72</v>
      </c>
      <c r="H29" s="15">
        <f>G29*Assumptions!$B$12</f>
        <v>572725.1858</v>
      </c>
      <c r="I29" s="15">
        <f>E29*Assumptions!$B$13</f>
        <v>10261465.99</v>
      </c>
      <c r="J29" s="15">
        <f t="shared" si="2"/>
        <v>-1193037.73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26.0</v>
      </c>
      <c r="B30" s="2">
        <v>65.0</v>
      </c>
      <c r="C30" s="15">
        <f t="shared" si="3"/>
        <v>14659237.12</v>
      </c>
      <c r="D30" s="15">
        <f>C30*Assumptions!$B$11</f>
        <v>1319331.341</v>
      </c>
      <c r="E30" s="15">
        <f t="shared" si="1"/>
        <v>15978568.46</v>
      </c>
      <c r="F30" s="15">
        <f>Assumptions!$B$9</f>
        <v>240000</v>
      </c>
      <c r="G30" s="15">
        <f t="shared" si="4"/>
        <v>12267228.9</v>
      </c>
      <c r="H30" s="15">
        <f>G30*Assumptions!$B$12</f>
        <v>613361.4451</v>
      </c>
      <c r="I30" s="15">
        <f>E30*Assumptions!$B$13</f>
        <v>11184997.92</v>
      </c>
      <c r="J30" s="15">
        <f t="shared" si="2"/>
        <v>-1082230.978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27.0</v>
      </c>
      <c r="B31" s="2">
        <v>66.0</v>
      </c>
      <c r="C31" s="15">
        <f t="shared" si="3"/>
        <v>15978568.46</v>
      </c>
      <c r="D31" s="15">
        <f>C31*Assumptions!$B$11</f>
        <v>1438071.162</v>
      </c>
      <c r="E31" s="15">
        <f t="shared" si="1"/>
        <v>17416639.63</v>
      </c>
      <c r="F31" s="15">
        <f>Assumptions!$B$9</f>
        <v>240000</v>
      </c>
      <c r="G31" s="15">
        <f t="shared" si="4"/>
        <v>13120590.35</v>
      </c>
      <c r="H31" s="15">
        <f>G31*Assumptions!$B$12</f>
        <v>656029.5174</v>
      </c>
      <c r="I31" s="15">
        <f>E31*Assumptions!$B$13</f>
        <v>12191647.74</v>
      </c>
      <c r="J31" s="15">
        <f t="shared" si="2"/>
        <v>-928942.6094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28.0</v>
      </c>
      <c r="B32" s="2">
        <v>67.0</v>
      </c>
      <c r="C32" s="15">
        <f t="shared" si="3"/>
        <v>17416639.63</v>
      </c>
      <c r="D32" s="15">
        <f>C32*Assumptions!$B$11</f>
        <v>1567497.566</v>
      </c>
      <c r="E32" s="15">
        <f t="shared" si="1"/>
        <v>18984137.19</v>
      </c>
      <c r="F32" s="15">
        <f>Assumptions!$B$9</f>
        <v>240000</v>
      </c>
      <c r="G32" s="15">
        <f t="shared" si="4"/>
        <v>14016619.86</v>
      </c>
      <c r="H32" s="15">
        <f>G32*Assumptions!$B$12</f>
        <v>700830.9932</v>
      </c>
      <c r="I32" s="15">
        <f>E32*Assumptions!$B$13</f>
        <v>13288896.03</v>
      </c>
      <c r="J32" s="15">
        <f t="shared" si="2"/>
        <v>-727723.8304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29.0</v>
      </c>
      <c r="B33" s="2">
        <v>68.0</v>
      </c>
      <c r="C33" s="15">
        <f t="shared" si="3"/>
        <v>18984137.19</v>
      </c>
      <c r="D33" s="15">
        <f>C33*Assumptions!$B$11</f>
        <v>1708572.347</v>
      </c>
      <c r="E33" s="15">
        <f t="shared" si="1"/>
        <v>20692709.54</v>
      </c>
      <c r="F33" s="15">
        <f>Assumptions!$B$9</f>
        <v>240000</v>
      </c>
      <c r="G33" s="15">
        <f t="shared" si="4"/>
        <v>14957450.86</v>
      </c>
      <c r="H33" s="15">
        <f>G33*Assumptions!$B$12</f>
        <v>747872.5429</v>
      </c>
      <c r="I33" s="15">
        <f>E33*Assumptions!$B$13</f>
        <v>14484896.68</v>
      </c>
      <c r="J33" s="15">
        <f t="shared" si="2"/>
        <v>-472554.1805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30.0</v>
      </c>
      <c r="B34" s="2">
        <v>69.0</v>
      </c>
      <c r="C34" s="15">
        <f t="shared" si="3"/>
        <v>20692709.54</v>
      </c>
      <c r="D34" s="15">
        <f>C34*Assumptions!$B$11</f>
        <v>1862343.859</v>
      </c>
      <c r="E34" s="15">
        <f t="shared" si="1"/>
        <v>22555053.4</v>
      </c>
      <c r="F34" s="15">
        <f>Assumptions!$B$9</f>
        <v>240000</v>
      </c>
      <c r="G34" s="15">
        <f t="shared" si="4"/>
        <v>15945323.4</v>
      </c>
      <c r="H34" s="15">
        <f>G34*Assumptions!$B$12</f>
        <v>797266.17</v>
      </c>
      <c r="I34" s="15">
        <f>E34*Assumptions!$B$13</f>
        <v>15788537.38</v>
      </c>
      <c r="J34" s="15">
        <f t="shared" si="2"/>
        <v>-156786.0225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">
        <v>31.0</v>
      </c>
      <c r="B35" s="12">
        <v>70.0</v>
      </c>
      <c r="C35" s="13">
        <f t="shared" si="3"/>
        <v>22555053.4</v>
      </c>
      <c r="D35" s="13">
        <f>C35*Assumptions!$B$11</f>
        <v>2029954.806</v>
      </c>
      <c r="E35" s="13">
        <f t="shared" si="1"/>
        <v>24585008.2</v>
      </c>
      <c r="F35" s="13">
        <f>Assumptions!$B$9</f>
        <v>240000</v>
      </c>
      <c r="G35" s="13">
        <f t="shared" si="4"/>
        <v>16982589.57</v>
      </c>
      <c r="H35" s="13">
        <f>G35*Assumptions!$B$12</f>
        <v>849129.4785</v>
      </c>
      <c r="I35" s="13">
        <f>E35*Assumptions!$B$13</f>
        <v>17209505.74</v>
      </c>
      <c r="J35" s="13">
        <f t="shared" si="2"/>
        <v>226916.1716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32.0</v>
      </c>
      <c r="B36" s="2">
        <v>71.0</v>
      </c>
      <c r="C36" s="15">
        <f t="shared" si="3"/>
        <v>24585008.2</v>
      </c>
      <c r="D36" s="15">
        <f>C36*Assumptions!$B$11</f>
        <v>2212650.738</v>
      </c>
      <c r="E36" s="15">
        <f t="shared" si="1"/>
        <v>26797658.94</v>
      </c>
      <c r="F36" s="15">
        <f>Assumptions!$B$9</f>
        <v>240000</v>
      </c>
      <c r="G36" s="15">
        <f t="shared" si="4"/>
        <v>18071719.05</v>
      </c>
      <c r="H36" s="15">
        <f>G36*Assumptions!$B$12</f>
        <v>903585.9525</v>
      </c>
      <c r="I36" s="15">
        <f>E36*Assumptions!$B$13</f>
        <v>18758361.26</v>
      </c>
      <c r="J36" s="15">
        <f t="shared" si="2"/>
        <v>686642.2098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33.0</v>
      </c>
      <c r="B37" s="2">
        <v>72.0</v>
      </c>
      <c r="C37" s="15">
        <f t="shared" si="3"/>
        <v>26797658.94</v>
      </c>
      <c r="D37" s="15">
        <f>C37*Assumptions!$B$11</f>
        <v>2411789.305</v>
      </c>
      <c r="E37" s="15">
        <f t="shared" si="1"/>
        <v>29209448.25</v>
      </c>
      <c r="F37" s="15">
        <f>Assumptions!$B$9</f>
        <v>240000</v>
      </c>
      <c r="G37" s="15">
        <f t="shared" si="4"/>
        <v>19215305</v>
      </c>
      <c r="H37" s="15">
        <f>G37*Assumptions!$B$12</f>
        <v>960765.2501</v>
      </c>
      <c r="I37" s="15">
        <f>E37*Assumptions!$B$13</f>
        <v>20446613.77</v>
      </c>
      <c r="J37" s="15">
        <f t="shared" si="2"/>
        <v>1231308.771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34.0</v>
      </c>
      <c r="B38" s="2">
        <v>73.0</v>
      </c>
      <c r="C38" s="15">
        <f t="shared" si="3"/>
        <v>29209448.25</v>
      </c>
      <c r="D38" s="15">
        <f>C38*Assumptions!$B$11</f>
        <v>2628850.342</v>
      </c>
      <c r="E38" s="15">
        <f t="shared" si="1"/>
        <v>31838298.59</v>
      </c>
      <c r="F38" s="15">
        <f>Assumptions!$B$9</f>
        <v>240000</v>
      </c>
      <c r="G38" s="15">
        <f t="shared" si="4"/>
        <v>20416070.25</v>
      </c>
      <c r="H38" s="15">
        <f>G38*Assumptions!$B$12</f>
        <v>1020803.513</v>
      </c>
      <c r="I38" s="15">
        <f>E38*Assumptions!$B$13</f>
        <v>22286809.01</v>
      </c>
      <c r="J38" s="15">
        <f t="shared" si="2"/>
        <v>1870738.76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35.0</v>
      </c>
      <c r="B39" s="2">
        <v>74.0</v>
      </c>
      <c r="C39" s="15">
        <f t="shared" si="3"/>
        <v>31838298.59</v>
      </c>
      <c r="D39" s="15">
        <f>C39*Assumptions!$B$11</f>
        <v>2865446.873</v>
      </c>
      <c r="E39" s="15">
        <f t="shared" si="1"/>
        <v>34703745.46</v>
      </c>
      <c r="F39" s="15">
        <f>Assumptions!$B$9</f>
        <v>240000</v>
      </c>
      <c r="G39" s="15">
        <f t="shared" si="4"/>
        <v>21676873.76</v>
      </c>
      <c r="H39" s="15">
        <f>G39*Assumptions!$B$12</f>
        <v>1083843.688</v>
      </c>
      <c r="I39" s="15">
        <f>E39*Assumptions!$B$13</f>
        <v>24292621.82</v>
      </c>
      <c r="J39" s="15">
        <f t="shared" si="2"/>
        <v>2615748.059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36.0</v>
      </c>
      <c r="B40" s="2">
        <v>75.0</v>
      </c>
      <c r="C40" s="15">
        <f t="shared" si="3"/>
        <v>34703745.46</v>
      </c>
      <c r="D40" s="15">
        <f>C40*Assumptions!$B$11</f>
        <v>3123337.092</v>
      </c>
      <c r="E40" s="15">
        <f t="shared" si="1"/>
        <v>37827082.55</v>
      </c>
      <c r="F40" s="15">
        <f>Assumptions!$B$9</f>
        <v>240000</v>
      </c>
      <c r="G40" s="15">
        <f t="shared" si="4"/>
        <v>23000717.45</v>
      </c>
      <c r="H40" s="15">
        <f>G40*Assumptions!$B$12</f>
        <v>1150035.873</v>
      </c>
      <c r="I40" s="15">
        <f>E40*Assumptions!$B$13</f>
        <v>26478957.79</v>
      </c>
      <c r="J40" s="15">
        <f t="shared" si="2"/>
        <v>3478240.334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37.0</v>
      </c>
      <c r="B41" s="2">
        <v>76.0</v>
      </c>
      <c r="C41" s="15">
        <f t="shared" si="3"/>
        <v>37827082.55</v>
      </c>
      <c r="D41" s="15">
        <f>C41*Assumptions!$B$11</f>
        <v>3404437.43</v>
      </c>
      <c r="E41" s="15">
        <f t="shared" si="1"/>
        <v>41231519.98</v>
      </c>
      <c r="F41" s="15">
        <f>Assumptions!$B$9</f>
        <v>240000</v>
      </c>
      <c r="G41" s="15">
        <f t="shared" si="4"/>
        <v>24390753.33</v>
      </c>
      <c r="H41" s="15">
        <f>G41*Assumptions!$B$12</f>
        <v>1219537.666</v>
      </c>
      <c r="I41" s="15">
        <f>E41*Assumptions!$B$13</f>
        <v>28862063.99</v>
      </c>
      <c r="J41" s="15">
        <f t="shared" si="2"/>
        <v>4471310.663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38.0</v>
      </c>
      <c r="B42" s="2">
        <v>77.0</v>
      </c>
      <c r="C42" s="15">
        <f t="shared" si="3"/>
        <v>41231519.98</v>
      </c>
      <c r="D42" s="15">
        <f>C42*Assumptions!$B$11</f>
        <v>3710836.798</v>
      </c>
      <c r="E42" s="15">
        <f t="shared" si="1"/>
        <v>44942356.78</v>
      </c>
      <c r="F42" s="15">
        <f>Assumptions!$B$9</f>
        <v>240000</v>
      </c>
      <c r="G42" s="15">
        <f t="shared" si="4"/>
        <v>25850290.99</v>
      </c>
      <c r="H42" s="15">
        <f>G42*Assumptions!$B$12</f>
        <v>1292514.55</v>
      </c>
      <c r="I42" s="15">
        <f>E42*Assumptions!$B$13</f>
        <v>31459649.75</v>
      </c>
      <c r="J42" s="15">
        <f t="shared" si="2"/>
        <v>5609358.755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39.0</v>
      </c>
      <c r="B43" s="2">
        <v>78.0</v>
      </c>
      <c r="C43" s="15">
        <f t="shared" si="3"/>
        <v>44942356.78</v>
      </c>
      <c r="D43" s="15">
        <f>C43*Assumptions!$B$11</f>
        <v>4044812.11</v>
      </c>
      <c r="E43" s="15">
        <f t="shared" si="1"/>
        <v>48987168.89</v>
      </c>
      <c r="F43" s="15">
        <f>Assumptions!$B$9</f>
        <v>240000</v>
      </c>
      <c r="G43" s="15">
        <f t="shared" si="4"/>
        <v>27382805.54</v>
      </c>
      <c r="H43" s="15">
        <f>G43*Assumptions!$B$12</f>
        <v>1369140.277</v>
      </c>
      <c r="I43" s="15">
        <f>E43*Assumptions!$B$13</f>
        <v>34291018.22</v>
      </c>
      <c r="J43" s="15">
        <f t="shared" si="2"/>
        <v>6908212.683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40.0</v>
      </c>
      <c r="B44" s="2">
        <v>79.0</v>
      </c>
      <c r="C44" s="15">
        <f t="shared" si="3"/>
        <v>48987168.89</v>
      </c>
      <c r="D44" s="15">
        <f>C44*Assumptions!$B$11</f>
        <v>4408845.2</v>
      </c>
      <c r="E44" s="15">
        <f t="shared" si="1"/>
        <v>53396014.09</v>
      </c>
      <c r="F44" s="15">
        <f>Assumptions!$B$9</f>
        <v>240000</v>
      </c>
      <c r="G44" s="15">
        <f t="shared" si="4"/>
        <v>28991945.82</v>
      </c>
      <c r="H44" s="15">
        <f>G44*Assumptions!$B$12</f>
        <v>1449597.291</v>
      </c>
      <c r="I44" s="15">
        <f>E44*Assumptions!$B$13</f>
        <v>37377209.86</v>
      </c>
      <c r="J44" s="15">
        <f t="shared" si="2"/>
        <v>8385264.046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>
        <v>41.0</v>
      </c>
      <c r="B45" s="12">
        <v>80.0</v>
      </c>
      <c r="C45" s="13">
        <f t="shared" si="3"/>
        <v>53396014.09</v>
      </c>
      <c r="D45" s="13">
        <f>C45*Assumptions!$B$11</f>
        <v>4805641.268</v>
      </c>
      <c r="E45" s="13">
        <f t="shared" si="1"/>
        <v>58201655.36</v>
      </c>
      <c r="F45" s="13">
        <f>Assumptions!$B$9</f>
        <v>240000</v>
      </c>
      <c r="G45" s="13">
        <f t="shared" si="4"/>
        <v>30681543.11</v>
      </c>
      <c r="H45" s="13">
        <f>G45*Assumptions!$B$12</f>
        <v>1534077.155</v>
      </c>
      <c r="I45" s="13">
        <f>E45*Assumptions!$B$13</f>
        <v>40741158.75</v>
      </c>
      <c r="J45" s="13">
        <f t="shared" si="2"/>
        <v>10059615.64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42.0</v>
      </c>
      <c r="B46" s="2">
        <v>81.0</v>
      </c>
      <c r="C46" s="15">
        <f t="shared" si="3"/>
        <v>58201655.36</v>
      </c>
      <c r="D46" s="15">
        <f>C46*Assumptions!$B$11</f>
        <v>5238148.982</v>
      </c>
      <c r="E46" s="15">
        <f t="shared" si="1"/>
        <v>63439804.34</v>
      </c>
      <c r="F46" s="15">
        <f>Assumptions!$B$9</f>
        <v>240000</v>
      </c>
      <c r="G46" s="15">
        <f t="shared" si="4"/>
        <v>32455620.26</v>
      </c>
      <c r="H46" s="15">
        <f>G46*Assumptions!$B$12</f>
        <v>1622781.013</v>
      </c>
      <c r="I46" s="15">
        <f>E46*Assumptions!$B$13</f>
        <v>44407863.04</v>
      </c>
      <c r="J46" s="15">
        <f t="shared" si="2"/>
        <v>11952242.78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43.0</v>
      </c>
      <c r="B47" s="2">
        <v>82.0</v>
      </c>
      <c r="C47" s="15">
        <f t="shared" si="3"/>
        <v>63439804.34</v>
      </c>
      <c r="D47" s="15">
        <f>C47*Assumptions!$B$11</f>
        <v>5709582.391</v>
      </c>
      <c r="E47" s="15">
        <f t="shared" si="1"/>
        <v>69149386.73</v>
      </c>
      <c r="F47" s="15">
        <f>Assumptions!$B$9</f>
        <v>240000</v>
      </c>
      <c r="G47" s="15">
        <f t="shared" si="4"/>
        <v>34318401.28</v>
      </c>
      <c r="H47" s="15">
        <f>G47*Assumptions!$B$12</f>
        <v>1715920.064</v>
      </c>
      <c r="I47" s="15">
        <f>E47*Assumptions!$B$13</f>
        <v>48404570.71</v>
      </c>
      <c r="J47" s="15">
        <f t="shared" si="2"/>
        <v>14086169.44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44.0</v>
      </c>
      <c r="B48" s="2">
        <v>83.0</v>
      </c>
      <c r="C48" s="15">
        <f t="shared" si="3"/>
        <v>69149386.73</v>
      </c>
      <c r="D48" s="15">
        <f>C48*Assumptions!$B$11</f>
        <v>6223444.806</v>
      </c>
      <c r="E48" s="15">
        <f t="shared" si="1"/>
        <v>75372831.54</v>
      </c>
      <c r="F48" s="15">
        <f>Assumptions!$B$9</f>
        <v>240000</v>
      </c>
      <c r="G48" s="15">
        <f t="shared" si="4"/>
        <v>36274321.34</v>
      </c>
      <c r="H48" s="15">
        <f>G48*Assumptions!$B$12</f>
        <v>1813716.067</v>
      </c>
      <c r="I48" s="15">
        <f>E48*Assumptions!$B$13</f>
        <v>52760982.08</v>
      </c>
      <c r="J48" s="15">
        <f t="shared" si="2"/>
        <v>16486660.74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45.0</v>
      </c>
      <c r="B49" s="2">
        <v>84.0</v>
      </c>
      <c r="C49" s="15">
        <f t="shared" si="3"/>
        <v>75372831.54</v>
      </c>
      <c r="D49" s="15">
        <f>C49*Assumptions!$B$11</f>
        <v>6783554.839</v>
      </c>
      <c r="E49" s="15">
        <f t="shared" si="1"/>
        <v>82156386.38</v>
      </c>
      <c r="F49" s="15">
        <f>Assumptions!$B$9</f>
        <v>240000</v>
      </c>
      <c r="G49" s="15">
        <f t="shared" si="4"/>
        <v>38328037.41</v>
      </c>
      <c r="H49" s="15">
        <f>G49*Assumptions!$B$12</f>
        <v>1916401.87</v>
      </c>
      <c r="I49" s="15">
        <f>E49*Assumptions!$B$13</f>
        <v>57509470.46</v>
      </c>
      <c r="J49" s="15">
        <f t="shared" si="2"/>
        <v>19181433.06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46.0</v>
      </c>
      <c r="B50" s="2">
        <v>85.0</v>
      </c>
      <c r="C50" s="15">
        <f t="shared" si="3"/>
        <v>82156386.38</v>
      </c>
      <c r="D50" s="15">
        <f>C50*Assumptions!$B$11</f>
        <v>7394074.774</v>
      </c>
      <c r="E50" s="15">
        <f t="shared" si="1"/>
        <v>89550461.15</v>
      </c>
      <c r="F50" s="15">
        <f>Assumptions!$B$9</f>
        <v>240000</v>
      </c>
      <c r="G50" s="15">
        <f t="shared" si="4"/>
        <v>40484439.28</v>
      </c>
      <c r="H50" s="15">
        <f>G50*Assumptions!$B$12</f>
        <v>2024221.964</v>
      </c>
      <c r="I50" s="15">
        <f>E50*Assumptions!$B$13</f>
        <v>62685322.81</v>
      </c>
      <c r="J50" s="15">
        <f t="shared" si="2"/>
        <v>22200883.53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47.0</v>
      </c>
      <c r="B51" s="2">
        <v>86.0</v>
      </c>
      <c r="C51" s="15">
        <f t="shared" si="3"/>
        <v>89550461.15</v>
      </c>
      <c r="D51" s="15">
        <f>C51*Assumptions!$B$11</f>
        <v>8059541.504</v>
      </c>
      <c r="E51" s="15">
        <f t="shared" si="1"/>
        <v>97610002.66</v>
      </c>
      <c r="F51" s="15">
        <f>Assumptions!$B$9</f>
        <v>240000</v>
      </c>
      <c r="G51" s="15">
        <f t="shared" si="4"/>
        <v>42748661.24</v>
      </c>
      <c r="H51" s="15">
        <f>G51*Assumptions!$B$12</f>
        <v>2137433.062</v>
      </c>
      <c r="I51" s="15">
        <f>E51*Assumptions!$B$13</f>
        <v>68327001.86</v>
      </c>
      <c r="J51" s="15">
        <f t="shared" si="2"/>
        <v>25578340.62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48.0</v>
      </c>
      <c r="B52" s="2">
        <v>87.0</v>
      </c>
      <c r="C52" s="15">
        <f t="shared" si="3"/>
        <v>97610002.66</v>
      </c>
      <c r="D52" s="15">
        <f>C52*Assumptions!$B$11</f>
        <v>8784900.239</v>
      </c>
      <c r="E52" s="15">
        <f t="shared" si="1"/>
        <v>106394902.9</v>
      </c>
      <c r="F52" s="15">
        <f>Assumptions!$B$9</f>
        <v>240000</v>
      </c>
      <c r="G52" s="15">
        <f t="shared" si="4"/>
        <v>45126094.31</v>
      </c>
      <c r="H52" s="15">
        <f>G52*Assumptions!$B$12</f>
        <v>2256304.715</v>
      </c>
      <c r="I52" s="15">
        <f>E52*Assumptions!$B$13</f>
        <v>74476432.03</v>
      </c>
      <c r="J52" s="15">
        <f t="shared" si="2"/>
        <v>29350337.72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49.0</v>
      </c>
      <c r="B53" s="2">
        <v>88.0</v>
      </c>
      <c r="C53" s="15">
        <f t="shared" si="3"/>
        <v>106394902.9</v>
      </c>
      <c r="D53" s="15">
        <f>C53*Assumptions!$B$11</f>
        <v>9575541.261</v>
      </c>
      <c r="E53" s="15">
        <f t="shared" si="1"/>
        <v>115970444.2</v>
      </c>
      <c r="F53" s="15">
        <f>Assumptions!$B$9</f>
        <v>240000</v>
      </c>
      <c r="G53" s="15">
        <f t="shared" si="4"/>
        <v>47622399.02</v>
      </c>
      <c r="H53" s="15">
        <f>G53*Assumptions!$B$12</f>
        <v>2381119.951</v>
      </c>
      <c r="I53" s="15">
        <f>E53*Assumptions!$B$13</f>
        <v>81179310.91</v>
      </c>
      <c r="J53" s="15">
        <f t="shared" si="2"/>
        <v>33556911.89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50.0</v>
      </c>
      <c r="B54" s="2">
        <v>89.0</v>
      </c>
      <c r="C54" s="15">
        <f t="shared" si="3"/>
        <v>115970444.2</v>
      </c>
      <c r="D54" s="15">
        <f>C54*Assumptions!$B$11</f>
        <v>10437339.97</v>
      </c>
      <c r="E54" s="15">
        <f t="shared" si="1"/>
        <v>126407784.1</v>
      </c>
      <c r="F54" s="15">
        <f>Assumptions!$B$9</f>
        <v>240000</v>
      </c>
      <c r="G54" s="15">
        <f t="shared" si="4"/>
        <v>50243518.97</v>
      </c>
      <c r="H54" s="15">
        <f>G54*Assumptions!$B$12</f>
        <v>2512175.949</v>
      </c>
      <c r="I54" s="15">
        <f>E54*Assumptions!$B$13</f>
        <v>88485448.89</v>
      </c>
      <c r="J54" s="15">
        <f t="shared" si="2"/>
        <v>38241929.92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>
        <v>51.0</v>
      </c>
      <c r="B55" s="12">
        <v>90.0</v>
      </c>
      <c r="C55" s="13">
        <f t="shared" si="3"/>
        <v>126407784.1</v>
      </c>
      <c r="D55" s="13">
        <f>C55*Assumptions!$B$11</f>
        <v>11376700.57</v>
      </c>
      <c r="E55" s="13">
        <f t="shared" si="1"/>
        <v>137784484.7</v>
      </c>
      <c r="F55" s="13">
        <f>Assumptions!$B$9</f>
        <v>240000</v>
      </c>
      <c r="G55" s="13">
        <f t="shared" si="4"/>
        <v>52995694.92</v>
      </c>
      <c r="H55" s="13">
        <f>G55*Assumptions!$B$12</f>
        <v>2649784.746</v>
      </c>
      <c r="I55" s="13">
        <f>E55*Assumptions!$B$13</f>
        <v>96449139.29</v>
      </c>
      <c r="J55" s="13">
        <f t="shared" si="2"/>
        <v>43453444.37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>
        <v>52.0</v>
      </c>
      <c r="B56" s="2">
        <v>91.0</v>
      </c>
      <c r="C56" s="15">
        <f t="shared" si="3"/>
        <v>137784484.7</v>
      </c>
      <c r="D56" s="15">
        <f>C56*Assumptions!$B$11</f>
        <v>12400603.62</v>
      </c>
      <c r="E56" s="15">
        <f t="shared" si="1"/>
        <v>150185088.3</v>
      </c>
      <c r="F56" s="15">
        <f>Assumptions!$B$9</f>
        <v>240000</v>
      </c>
      <c r="G56" s="15">
        <f t="shared" si="4"/>
        <v>55885479.67</v>
      </c>
      <c r="H56" s="15">
        <f>G56*Assumptions!$B$12</f>
        <v>2794273.983</v>
      </c>
      <c r="I56" s="15">
        <f>E56*Assumptions!$B$13</f>
        <v>105129561.8</v>
      </c>
      <c r="J56" s="15">
        <f t="shared" si="2"/>
        <v>49244082.16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53.0</v>
      </c>
      <c r="B57" s="2">
        <v>92.0</v>
      </c>
      <c r="C57" s="15">
        <f t="shared" si="3"/>
        <v>150185088.3</v>
      </c>
      <c r="D57" s="15">
        <f>C57*Assumptions!$B$11</f>
        <v>13516657.95</v>
      </c>
      <c r="E57" s="15">
        <f t="shared" si="1"/>
        <v>163701746.3</v>
      </c>
      <c r="F57" s="15">
        <f>Assumptions!$B$9</f>
        <v>240000</v>
      </c>
      <c r="G57" s="15">
        <f t="shared" si="4"/>
        <v>58919753.65</v>
      </c>
      <c r="H57" s="15">
        <f>G57*Assumptions!$B$12</f>
        <v>2945987.682</v>
      </c>
      <c r="I57" s="15">
        <f>E57*Assumptions!$B$13</f>
        <v>114591222.4</v>
      </c>
      <c r="J57" s="15">
        <f t="shared" si="2"/>
        <v>55671468.74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54.0</v>
      </c>
      <c r="B58" s="2">
        <v>93.0</v>
      </c>
      <c r="C58" s="15">
        <f t="shared" si="3"/>
        <v>163701746.3</v>
      </c>
      <c r="D58" s="15">
        <f>C58*Assumptions!$B$11</f>
        <v>14733157.16</v>
      </c>
      <c r="E58" s="15">
        <f t="shared" si="1"/>
        <v>178434903.4</v>
      </c>
      <c r="F58" s="15">
        <f>Assumptions!$B$9</f>
        <v>240000</v>
      </c>
      <c r="G58" s="15">
        <f t="shared" si="4"/>
        <v>62105741.33</v>
      </c>
      <c r="H58" s="15">
        <f>G58*Assumptions!$B$12</f>
        <v>3105287.067</v>
      </c>
      <c r="I58" s="15">
        <f>E58*Assumptions!$B$13</f>
        <v>124904432.4</v>
      </c>
      <c r="J58" s="15">
        <f t="shared" si="2"/>
        <v>62798691.07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>
        <v>55.0</v>
      </c>
      <c r="B59" s="2">
        <v>94.0</v>
      </c>
      <c r="C59" s="15">
        <f t="shared" si="3"/>
        <v>178434903.4</v>
      </c>
      <c r="D59" s="15">
        <f>C59*Assumptions!$B$11</f>
        <v>16059141.31</v>
      </c>
      <c r="E59" s="15">
        <f t="shared" si="1"/>
        <v>194494044.7</v>
      </c>
      <c r="F59" s="15">
        <f>Assumptions!$B$9</f>
        <v>240000</v>
      </c>
      <c r="G59" s="15">
        <f t="shared" si="4"/>
        <v>65451028.4</v>
      </c>
      <c r="H59" s="15">
        <f>G59*Assumptions!$B$12</f>
        <v>3272551.42</v>
      </c>
      <c r="I59" s="15">
        <f>E59*Assumptions!$B$13</f>
        <v>136145831.3</v>
      </c>
      <c r="J59" s="15">
        <f t="shared" si="2"/>
        <v>70694802.92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56.0</v>
      </c>
      <c r="B60" s="2">
        <v>95.0</v>
      </c>
      <c r="C60" s="15">
        <f t="shared" si="3"/>
        <v>194494044.7</v>
      </c>
      <c r="D60" s="15">
        <f>C60*Assumptions!$B$11</f>
        <v>17504464.03</v>
      </c>
      <c r="E60" s="15">
        <f t="shared" si="1"/>
        <v>211998508.8</v>
      </c>
      <c r="F60" s="15">
        <f>Assumptions!$B$9</f>
        <v>240000</v>
      </c>
      <c r="G60" s="15">
        <f t="shared" si="4"/>
        <v>68963579.82</v>
      </c>
      <c r="H60" s="15">
        <f>G60*Assumptions!$B$12</f>
        <v>3448178.991</v>
      </c>
      <c r="I60" s="15">
        <f>E60*Assumptions!$B$13</f>
        <v>148398956.1</v>
      </c>
      <c r="J60" s="15">
        <f t="shared" si="2"/>
        <v>79435376.32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>
        <v>57.0</v>
      </c>
      <c r="B61" s="2">
        <v>96.0</v>
      </c>
      <c r="C61" s="15">
        <f t="shared" si="3"/>
        <v>211998508.8</v>
      </c>
      <c r="D61" s="15">
        <f>C61*Assumptions!$B$11</f>
        <v>19079865.79</v>
      </c>
      <c r="E61" s="15">
        <f t="shared" si="1"/>
        <v>231078374.6</v>
      </c>
      <c r="F61" s="15">
        <f>Assumptions!$B$9</f>
        <v>240000</v>
      </c>
      <c r="G61" s="15">
        <f t="shared" si="4"/>
        <v>72651758.81</v>
      </c>
      <c r="H61" s="15">
        <f>G61*Assumptions!$B$12</f>
        <v>3632587.94</v>
      </c>
      <c r="I61" s="15">
        <f>E61*Assumptions!$B$13</f>
        <v>161754862.2</v>
      </c>
      <c r="J61" s="15">
        <f t="shared" si="2"/>
        <v>89103103.38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58.0</v>
      </c>
      <c r="B62" s="2">
        <v>97.0</v>
      </c>
      <c r="C62" s="15">
        <f t="shared" si="3"/>
        <v>231078374.6</v>
      </c>
      <c r="D62" s="15">
        <f>C62*Assumptions!$B$11</f>
        <v>20797053.71</v>
      </c>
      <c r="E62" s="15">
        <f t="shared" si="1"/>
        <v>251875428.3</v>
      </c>
      <c r="F62" s="15">
        <f>Assumptions!$B$9</f>
        <v>240000</v>
      </c>
      <c r="G62" s="15">
        <f t="shared" si="4"/>
        <v>76524346.75</v>
      </c>
      <c r="H62" s="15">
        <f>G62*Assumptions!$B$12</f>
        <v>3826217.337</v>
      </c>
      <c r="I62" s="15">
        <f>E62*Assumptions!$B$13</f>
        <v>176312799.8</v>
      </c>
      <c r="J62" s="15">
        <f t="shared" si="2"/>
        <v>99788453.04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59.0</v>
      </c>
      <c r="B63" s="2">
        <v>98.0</v>
      </c>
      <c r="C63" s="15">
        <f t="shared" si="3"/>
        <v>251875428.3</v>
      </c>
      <c r="D63" s="15">
        <f>C63*Assumptions!$B$11</f>
        <v>22668788.54</v>
      </c>
      <c r="E63" s="15">
        <f t="shared" si="1"/>
        <v>274544216.8</v>
      </c>
      <c r="F63" s="15">
        <f>Assumptions!$B$9</f>
        <v>240000</v>
      </c>
      <c r="G63" s="15">
        <f t="shared" si="4"/>
        <v>80590564.09</v>
      </c>
      <c r="H63" s="15">
        <f>G63*Assumptions!$B$12</f>
        <v>4029528.204</v>
      </c>
      <c r="I63" s="15">
        <f>E63*Assumptions!$B$13</f>
        <v>192180951.8</v>
      </c>
      <c r="J63" s="15">
        <f t="shared" si="2"/>
        <v>111590387.7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>
        <v>60.0</v>
      </c>
      <c r="B64" s="2">
        <v>99.0</v>
      </c>
      <c r="C64" s="15">
        <f t="shared" si="3"/>
        <v>274544216.8</v>
      </c>
      <c r="D64" s="15">
        <f>C64*Assumptions!$B$11</f>
        <v>24708979.51</v>
      </c>
      <c r="E64" s="15">
        <f t="shared" si="1"/>
        <v>299253196.3</v>
      </c>
      <c r="F64" s="15">
        <f>Assumptions!$B$9</f>
        <v>240000</v>
      </c>
      <c r="G64" s="15">
        <f t="shared" si="4"/>
        <v>84860092.29</v>
      </c>
      <c r="H64" s="15">
        <f>G64*Assumptions!$B$12</f>
        <v>4243004.615</v>
      </c>
      <c r="I64" s="15">
        <f>E64*Assumptions!$B$13</f>
        <v>209477237.4</v>
      </c>
      <c r="J64" s="15">
        <f t="shared" si="2"/>
        <v>124617145.1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>
        <v>61.0</v>
      </c>
      <c r="B65" s="12">
        <v>100.0</v>
      </c>
      <c r="C65" s="13">
        <f t="shared" si="3"/>
        <v>299253196.3</v>
      </c>
      <c r="D65" s="13">
        <f>C65*Assumptions!$B$11</f>
        <v>26932787.67</v>
      </c>
      <c r="E65" s="13">
        <f t="shared" si="1"/>
        <v>326185984</v>
      </c>
      <c r="F65" s="13">
        <f>Assumptions!$B$9</f>
        <v>240000</v>
      </c>
      <c r="G65" s="13">
        <f t="shared" si="4"/>
        <v>89343096.91</v>
      </c>
      <c r="H65" s="13">
        <f>G65*Assumptions!$B$12</f>
        <v>4467154.845</v>
      </c>
      <c r="I65" s="13">
        <f>E65*Assumptions!$B$13</f>
        <v>228330188.8</v>
      </c>
      <c r="J65" s="13">
        <f t="shared" si="2"/>
        <v>138987091.9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71"/>
    <col customWidth="1" min="3" max="9" width="22.0"/>
    <col customWidth="1" min="10" max="26" width="8.71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20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  <c r="I3" s="11" t="s">
        <v>47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40.0</v>
      </c>
      <c r="B4" s="15">
        <f>'Scenario 1 - After-Tax $500K'!L5</f>
        <v>1557004.643</v>
      </c>
      <c r="C4" s="15">
        <f>'Scenario 1 - After-Tax $500K'!F5</f>
        <v>295995.3569</v>
      </c>
      <c r="D4" s="15">
        <f>'Scenario 1 - After-Tax $500K'!I5</f>
        <v>55995.35694</v>
      </c>
      <c r="E4" s="15">
        <f>'Scenario 2 - LOC $500K'!E5</f>
        <v>1853000</v>
      </c>
      <c r="F4" s="15">
        <f>'Scenario 2 - LOC $500K'!G5</f>
        <v>240000</v>
      </c>
      <c r="G4" s="15">
        <f>'Scenario 2 - LOC $500K'!H5</f>
        <v>12000</v>
      </c>
      <c r="H4" s="15">
        <f t="shared" ref="H4:H10" si="1">E4-F4</f>
        <v>1613000</v>
      </c>
      <c r="I4" s="15">
        <f t="shared" ref="I4:I10" si="2">H4-B4</f>
        <v>55995.35694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50.0</v>
      </c>
      <c r="B5" s="15">
        <f>'Scenario 1 - After-Tax $500K'!L15</f>
        <v>-1019324.389</v>
      </c>
      <c r="C5" s="15">
        <f>'Scenario 1 - After-Tax $500K'!F15</f>
        <v>325120.7579</v>
      </c>
      <c r="D5" s="15">
        <f>'Scenario 1 - After-Tax $500K'!I15</f>
        <v>85120.75795</v>
      </c>
      <c r="E5" s="15">
        <f>'Scenario 2 - LOC $500K'!E15</f>
        <v>4386724.889</v>
      </c>
      <c r="F5" s="15">
        <f>'Scenario 2 - LOC $500K'!G15</f>
        <v>3409628.919</v>
      </c>
      <c r="G5" s="15">
        <f>'Scenario 2 - LOC $500K'!H15</f>
        <v>170481.4459</v>
      </c>
      <c r="H5" s="15">
        <f t="shared" si="1"/>
        <v>977095.9701</v>
      </c>
      <c r="I5" s="15">
        <f t="shared" si="2"/>
        <v>1996420.359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60.0</v>
      </c>
      <c r="B6" s="15">
        <f>'Scenario 1 - After-Tax $500K'!L25</f>
        <v>-7363845.994</v>
      </c>
      <c r="C6" s="15">
        <f>'Scenario 1 - After-Tax $500K'!F25</f>
        <v>326558.0147</v>
      </c>
      <c r="D6" s="15">
        <f>'Scenario 1 - After-Tax $500K'!I25</f>
        <v>86558.01465</v>
      </c>
      <c r="E6" s="15">
        <f>'Scenario 2 - LOC $500K'!E25</f>
        <v>10384973.15</v>
      </c>
      <c r="F6" s="15">
        <f>'Scenario 2 - LOC $500K'!G25</f>
        <v>8572620.434</v>
      </c>
      <c r="G6" s="15">
        <f>'Scenario 2 - LOC $500K'!H25</f>
        <v>428631.0217</v>
      </c>
      <c r="H6" s="15">
        <f t="shared" si="1"/>
        <v>1812352.719</v>
      </c>
      <c r="I6" s="15">
        <f t="shared" si="2"/>
        <v>9176198.712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70.0</v>
      </c>
      <c r="B7" s="15">
        <f>'Scenario 1 - After-Tax $500K'!L35</f>
        <v>-22400446.4</v>
      </c>
      <c r="C7" s="15">
        <f>'Scenario 1 - After-Tax $500K'!F35</f>
        <v>327299.8911</v>
      </c>
      <c r="D7" s="15">
        <f>'Scenario 1 - After-Tax $500K'!I35</f>
        <v>87299.89114</v>
      </c>
      <c r="E7" s="15">
        <f>'Scenario 2 - LOC $500K'!E35</f>
        <v>24585008.2</v>
      </c>
      <c r="F7" s="15">
        <f>'Scenario 2 - LOC $500K'!G35</f>
        <v>16982589.57</v>
      </c>
      <c r="G7" s="15">
        <f>'Scenario 2 - LOC $500K'!H35</f>
        <v>849129.4785</v>
      </c>
      <c r="H7" s="15">
        <f t="shared" si="1"/>
        <v>7602418.633</v>
      </c>
      <c r="I7" s="15">
        <f t="shared" si="2"/>
        <v>30002865.03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80.0</v>
      </c>
      <c r="B8" s="15">
        <f>'Scenario 1 - After-Tax $500K'!L45</f>
        <v>-58005379.68</v>
      </c>
      <c r="C8" s="15">
        <f>'Scenario 1 - After-Tax $500K'!F45</f>
        <v>327626.1426</v>
      </c>
      <c r="D8" s="15">
        <f>'Scenario 1 - After-Tax $500K'!I45</f>
        <v>87626.14264</v>
      </c>
      <c r="E8" s="15">
        <f>'Scenario 2 - LOC $500K'!E45</f>
        <v>58201655.36</v>
      </c>
      <c r="F8" s="15">
        <f>'Scenario 2 - LOC $500K'!G45</f>
        <v>30681543.11</v>
      </c>
      <c r="G8" s="15">
        <f>'Scenario 2 - LOC $500K'!H45</f>
        <v>1534077.155</v>
      </c>
      <c r="H8" s="15">
        <f t="shared" si="1"/>
        <v>27520112.25</v>
      </c>
      <c r="I8" s="15">
        <f t="shared" si="2"/>
        <v>85525491.93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90.0</v>
      </c>
      <c r="B9" s="15">
        <f>'Scenario 1 - After-Tax $500K'!L55</f>
        <v>-142298602.7</v>
      </c>
      <c r="C9" s="15">
        <f>'Scenario 1 - After-Tax $500K'!F55</f>
        <v>327765.9259</v>
      </c>
      <c r="D9" s="15">
        <f>'Scenario 1 - After-Tax $500K'!I55</f>
        <v>87765.92589</v>
      </c>
      <c r="E9" s="15">
        <f>'Scenario 2 - LOC $500K'!E55</f>
        <v>137784484.7</v>
      </c>
      <c r="F9" s="15">
        <f>'Scenario 2 - LOC $500K'!G55</f>
        <v>52995694.92</v>
      </c>
      <c r="G9" s="15">
        <f>'Scenario 2 - LOC $500K'!H55</f>
        <v>2649784.746</v>
      </c>
      <c r="H9" s="15">
        <f t="shared" si="1"/>
        <v>84788789.78</v>
      </c>
      <c r="I9" s="15">
        <f t="shared" si="2"/>
        <v>227087392.5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100.0</v>
      </c>
      <c r="B10" s="15">
        <f>'Scenario 1 - After-Tax $500K'!L65</f>
        <v>-341852766.4</v>
      </c>
      <c r="C10" s="15">
        <f>'Scenario 1 - After-Tax $500K'!F65</f>
        <v>327825.3046</v>
      </c>
      <c r="D10" s="15">
        <f>'Scenario 1 - After-Tax $500K'!I65</f>
        <v>87825.3046</v>
      </c>
      <c r="E10" s="15">
        <f>'Scenario 2 - LOC $500K'!E65</f>
        <v>326185984</v>
      </c>
      <c r="F10" s="15">
        <f>'Scenario 2 - LOC $500K'!G65</f>
        <v>89343096.91</v>
      </c>
      <c r="G10" s="15">
        <f>'Scenario 2 - LOC $500K'!H65</f>
        <v>4467154.845</v>
      </c>
      <c r="H10" s="15">
        <f t="shared" si="1"/>
        <v>236842887.1</v>
      </c>
      <c r="I10" s="15">
        <f t="shared" si="2"/>
        <v>578695653.5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</cols>
  <sheetData>
    <row r="1">
      <c r="A1" s="18" t="s">
        <v>48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49</v>
      </c>
      <c r="B2" s="20" t="s">
        <v>50</v>
      </c>
      <c r="C2" s="20" t="s">
        <v>51</v>
      </c>
      <c r="D2" s="20" t="s">
        <v>52</v>
      </c>
      <c r="E2" s="20" t="s">
        <v>53</v>
      </c>
      <c r="F2" s="20" t="s">
        <v>54</v>
      </c>
      <c r="G2" s="20" t="s">
        <v>55</v>
      </c>
      <c r="H2" s="20" t="s">
        <v>56</v>
      </c>
      <c r="I2" s="20" t="s">
        <v>57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 t="s">
        <v>58</v>
      </c>
      <c r="B3" s="22">
        <v>0.31</v>
      </c>
      <c r="C3" s="23">
        <f t="shared" ref="C3:C15" si="1">B3*100</f>
        <v>31</v>
      </c>
      <c r="D3" s="21">
        <v>0.0</v>
      </c>
      <c r="E3" s="23">
        <f t="shared" ref="E3:E15" si="2">C3*D3</f>
        <v>0</v>
      </c>
      <c r="F3" s="24">
        <v>616.0</v>
      </c>
      <c r="G3" s="23">
        <f t="shared" ref="G3:G16" si="3">D3*F3*100</f>
        <v>0</v>
      </c>
      <c r="H3" s="25" t="str">
        <f t="shared" ref="H3:H15" si="4">E3/G3</f>
        <v>#DIV/0!</v>
      </c>
      <c r="I3" s="25" t="str">
        <f t="shared" ref="I3:I15" si="5">H3*52</f>
        <v>#DIV/0!</v>
      </c>
    </row>
    <row r="4">
      <c r="A4" s="21" t="s">
        <v>59</v>
      </c>
      <c r="B4" s="22">
        <v>2.78</v>
      </c>
      <c r="C4" s="23">
        <f t="shared" si="1"/>
        <v>278</v>
      </c>
      <c r="D4" s="21">
        <v>0.0</v>
      </c>
      <c r="E4" s="23">
        <f t="shared" si="2"/>
        <v>0</v>
      </c>
      <c r="F4" s="24">
        <v>1100.0</v>
      </c>
      <c r="G4" s="23">
        <f t="shared" si="3"/>
        <v>0</v>
      </c>
      <c r="H4" s="25" t="str">
        <f t="shared" si="4"/>
        <v>#DIV/0!</v>
      </c>
      <c r="I4" s="25" t="str">
        <f t="shared" si="5"/>
        <v>#DIV/0!</v>
      </c>
    </row>
    <row r="5">
      <c r="A5" s="21" t="s">
        <v>60</v>
      </c>
      <c r="B5" s="22">
        <v>0.82</v>
      </c>
      <c r="C5" s="23">
        <f t="shared" si="1"/>
        <v>82</v>
      </c>
      <c r="D5" s="21">
        <v>2.0</v>
      </c>
      <c r="E5" s="23">
        <f t="shared" si="2"/>
        <v>164</v>
      </c>
      <c r="F5" s="24">
        <v>127.0</v>
      </c>
      <c r="G5" s="23">
        <f t="shared" si="3"/>
        <v>25400</v>
      </c>
      <c r="H5" s="25">
        <f t="shared" si="4"/>
        <v>0.006456692913</v>
      </c>
      <c r="I5" s="25">
        <f t="shared" si="5"/>
        <v>0.3357480315</v>
      </c>
    </row>
    <row r="6">
      <c r="A6" s="21" t="s">
        <v>61</v>
      </c>
      <c r="B6" s="22">
        <v>2.5</v>
      </c>
      <c r="C6" s="23">
        <f t="shared" si="1"/>
        <v>250</v>
      </c>
      <c r="D6" s="21">
        <v>9.0</v>
      </c>
      <c r="E6" s="23">
        <f t="shared" si="2"/>
        <v>2250</v>
      </c>
      <c r="F6" s="24">
        <v>448.0</v>
      </c>
      <c r="G6" s="23">
        <f t="shared" si="3"/>
        <v>403200</v>
      </c>
      <c r="H6" s="25">
        <f t="shared" si="4"/>
        <v>0.005580357143</v>
      </c>
      <c r="I6" s="25">
        <f t="shared" si="5"/>
        <v>0.2901785714</v>
      </c>
    </row>
    <row r="7">
      <c r="A7" s="21" t="s">
        <v>62</v>
      </c>
      <c r="B7" s="22">
        <v>0.96</v>
      </c>
      <c r="C7" s="23">
        <f t="shared" si="1"/>
        <v>96</v>
      </c>
      <c r="D7" s="21">
        <v>2.0</v>
      </c>
      <c r="E7" s="23">
        <f t="shared" si="2"/>
        <v>192</v>
      </c>
      <c r="F7" s="24">
        <v>175.0</v>
      </c>
      <c r="G7" s="23">
        <f t="shared" si="3"/>
        <v>35000</v>
      </c>
      <c r="H7" s="25">
        <f t="shared" si="4"/>
        <v>0.005485714286</v>
      </c>
      <c r="I7" s="25">
        <f t="shared" si="5"/>
        <v>0.2852571429</v>
      </c>
    </row>
    <row r="8">
      <c r="A8" s="21" t="s">
        <v>63</v>
      </c>
      <c r="B8" s="22">
        <v>0.72</v>
      </c>
      <c r="C8" s="23">
        <f t="shared" si="1"/>
        <v>72</v>
      </c>
      <c r="D8" s="21">
        <v>1.0</v>
      </c>
      <c r="E8" s="23">
        <f t="shared" si="2"/>
        <v>72</v>
      </c>
      <c r="F8" s="24">
        <v>165.0</v>
      </c>
      <c r="G8" s="23">
        <f t="shared" si="3"/>
        <v>16500</v>
      </c>
      <c r="H8" s="25">
        <f t="shared" si="4"/>
        <v>0.004363636364</v>
      </c>
      <c r="I8" s="25">
        <f t="shared" si="5"/>
        <v>0.2269090909</v>
      </c>
    </row>
    <row r="9">
      <c r="A9" s="21" t="s">
        <v>64</v>
      </c>
      <c r="B9" s="22">
        <v>0.71</v>
      </c>
      <c r="C9" s="23">
        <f t="shared" si="1"/>
        <v>71</v>
      </c>
      <c r="D9" s="21">
        <v>2.0</v>
      </c>
      <c r="E9" s="23">
        <f t="shared" si="2"/>
        <v>142</v>
      </c>
      <c r="F9" s="24">
        <v>187.0</v>
      </c>
      <c r="G9" s="23">
        <f t="shared" si="3"/>
        <v>37400</v>
      </c>
      <c r="H9" s="25">
        <f t="shared" si="4"/>
        <v>0.003796791444</v>
      </c>
      <c r="I9" s="25">
        <f t="shared" si="5"/>
        <v>0.1974331551</v>
      </c>
    </row>
    <row r="10">
      <c r="A10" s="21" t="s">
        <v>65</v>
      </c>
      <c r="B10" s="22">
        <v>0.21</v>
      </c>
      <c r="C10" s="23">
        <f t="shared" si="1"/>
        <v>21</v>
      </c>
      <c r="D10" s="21">
        <v>15.0</v>
      </c>
      <c r="E10" s="23">
        <f t="shared" si="2"/>
        <v>315</v>
      </c>
      <c r="F10" s="24">
        <v>58.0</v>
      </c>
      <c r="G10" s="23">
        <f t="shared" si="3"/>
        <v>87000</v>
      </c>
      <c r="H10" s="25">
        <f t="shared" si="4"/>
        <v>0.003620689655</v>
      </c>
      <c r="I10" s="25">
        <f t="shared" si="5"/>
        <v>0.1882758621</v>
      </c>
    </row>
    <row r="11">
      <c r="A11" s="21" t="s">
        <v>66</v>
      </c>
      <c r="B11" s="22">
        <v>1.23</v>
      </c>
      <c r="C11" s="23">
        <f t="shared" si="1"/>
        <v>123</v>
      </c>
      <c r="D11" s="21">
        <v>2.0</v>
      </c>
      <c r="E11" s="23">
        <f t="shared" si="2"/>
        <v>246</v>
      </c>
      <c r="F11" s="24">
        <v>353.0</v>
      </c>
      <c r="G11" s="23">
        <f t="shared" si="3"/>
        <v>70600</v>
      </c>
      <c r="H11" s="25">
        <f t="shared" si="4"/>
        <v>0.003484419263</v>
      </c>
      <c r="I11" s="25">
        <f t="shared" si="5"/>
        <v>0.1811898017</v>
      </c>
    </row>
    <row r="12">
      <c r="A12" s="21" t="s">
        <v>67</v>
      </c>
      <c r="B12" s="22">
        <v>1.9</v>
      </c>
      <c r="C12" s="23">
        <f t="shared" si="1"/>
        <v>190</v>
      </c>
      <c r="D12" s="21">
        <v>0.4</v>
      </c>
      <c r="E12" s="23">
        <f t="shared" si="2"/>
        <v>76</v>
      </c>
      <c r="F12" s="24">
        <v>618.0</v>
      </c>
      <c r="G12" s="23">
        <f t="shared" si="3"/>
        <v>24720</v>
      </c>
      <c r="H12" s="25">
        <f t="shared" si="4"/>
        <v>0.003074433657</v>
      </c>
      <c r="I12" s="25">
        <f t="shared" si="5"/>
        <v>0.1598705502</v>
      </c>
    </row>
    <row r="13">
      <c r="A13" s="21" t="s">
        <v>68</v>
      </c>
      <c r="B13" s="22">
        <v>0.95</v>
      </c>
      <c r="C13" s="23">
        <f t="shared" si="1"/>
        <v>95</v>
      </c>
      <c r="D13" s="21">
        <v>0.45</v>
      </c>
      <c r="E13" s="23">
        <f t="shared" si="2"/>
        <v>42.75</v>
      </c>
      <c r="F13" s="24">
        <v>495.0</v>
      </c>
      <c r="G13" s="23">
        <f t="shared" si="3"/>
        <v>22275</v>
      </c>
      <c r="H13" s="25">
        <f t="shared" si="4"/>
        <v>0.001919191919</v>
      </c>
      <c r="I13" s="25">
        <f t="shared" si="5"/>
        <v>0.0997979798</v>
      </c>
    </row>
    <row r="14">
      <c r="A14" s="21" t="s">
        <v>69</v>
      </c>
      <c r="B14" s="22">
        <v>0.43</v>
      </c>
      <c r="C14" s="23">
        <f t="shared" si="1"/>
        <v>43</v>
      </c>
      <c r="D14" s="21">
        <v>17.0</v>
      </c>
      <c r="E14" s="23">
        <f t="shared" si="2"/>
        <v>731</v>
      </c>
      <c r="F14" s="24">
        <v>270.0</v>
      </c>
      <c r="G14" s="23">
        <f t="shared" si="3"/>
        <v>459000</v>
      </c>
      <c r="H14" s="25">
        <f t="shared" si="4"/>
        <v>0.001592592593</v>
      </c>
      <c r="I14" s="25">
        <f t="shared" si="5"/>
        <v>0.08281481481</v>
      </c>
    </row>
    <row r="15">
      <c r="A15" s="21" t="s">
        <v>70</v>
      </c>
      <c r="B15" s="22">
        <v>0.46</v>
      </c>
      <c r="C15" s="23">
        <f t="shared" si="1"/>
        <v>46</v>
      </c>
      <c r="D15" s="21">
        <v>1.0</v>
      </c>
      <c r="E15" s="23">
        <f t="shared" si="2"/>
        <v>46</v>
      </c>
      <c r="F15" s="24">
        <v>367.0</v>
      </c>
      <c r="G15" s="23">
        <f t="shared" si="3"/>
        <v>36700</v>
      </c>
      <c r="H15" s="25">
        <f t="shared" si="4"/>
        <v>0.001253405995</v>
      </c>
      <c r="I15" s="25">
        <f t="shared" si="5"/>
        <v>0.06517711172</v>
      </c>
    </row>
    <row r="16">
      <c r="A16" s="21" t="s">
        <v>71</v>
      </c>
      <c r="B16" s="22"/>
      <c r="C16" s="23"/>
      <c r="D16" s="21">
        <v>2.0</v>
      </c>
      <c r="E16" s="23"/>
      <c r="F16" s="24">
        <v>40.0</v>
      </c>
      <c r="G16" s="23">
        <f t="shared" si="3"/>
        <v>8000</v>
      </c>
      <c r="H16" s="25"/>
      <c r="I16" s="25"/>
    </row>
    <row r="17">
      <c r="A17" s="26" t="s">
        <v>72</v>
      </c>
      <c r="B17" s="27"/>
      <c r="C17" s="27"/>
      <c r="D17" s="27"/>
      <c r="E17" s="28">
        <f>SUM(E3:E14)</f>
        <v>4230.75</v>
      </c>
      <c r="F17" s="27"/>
      <c r="G17" s="28">
        <f>SUM(G3:G14)</f>
        <v>1181095</v>
      </c>
      <c r="H17" s="29">
        <f>E17/G17</f>
        <v>0.003582057328</v>
      </c>
      <c r="I17" s="29">
        <f>H17*52</f>
        <v>0.1862669811</v>
      </c>
    </row>
    <row r="22">
      <c r="A22" s="18" t="s">
        <v>73</v>
      </c>
    </row>
    <row r="23">
      <c r="A23" s="30" t="s">
        <v>49</v>
      </c>
      <c r="B23" s="30" t="s">
        <v>50</v>
      </c>
      <c r="C23" s="30" t="s">
        <v>51</v>
      </c>
      <c r="D23" s="30" t="s">
        <v>52</v>
      </c>
      <c r="E23" s="30" t="s">
        <v>53</v>
      </c>
      <c r="F23" s="30" t="s">
        <v>54</v>
      </c>
      <c r="G23" s="30" t="s">
        <v>55</v>
      </c>
      <c r="H23" s="30" t="s">
        <v>56</v>
      </c>
      <c r="I23" s="30" t="s">
        <v>57</v>
      </c>
    </row>
    <row r="24">
      <c r="A24" s="21" t="s">
        <v>61</v>
      </c>
      <c r="B24" s="22">
        <v>2.5</v>
      </c>
      <c r="C24" s="23">
        <f t="shared" ref="C24:C28" si="6">B24*100</f>
        <v>250</v>
      </c>
      <c r="D24" s="21">
        <v>6.0</v>
      </c>
      <c r="E24" s="23">
        <f t="shared" ref="E24:E28" si="7">C24*D24</f>
        <v>1500</v>
      </c>
      <c r="F24" s="24">
        <v>448.0</v>
      </c>
      <c r="G24" s="23">
        <f t="shared" ref="G24:G28" si="8">D24*F24*100</f>
        <v>268800</v>
      </c>
      <c r="H24" s="25">
        <f t="shared" ref="H24:H29" si="9">E24/G24</f>
        <v>0.005580357143</v>
      </c>
      <c r="I24" s="25">
        <f t="shared" ref="I24:I29" si="10">H24*52</f>
        <v>0.2901785714</v>
      </c>
    </row>
    <row r="25">
      <c r="A25" s="21" t="s">
        <v>64</v>
      </c>
      <c r="B25" s="22">
        <v>0.71</v>
      </c>
      <c r="C25" s="23">
        <f t="shared" si="6"/>
        <v>71</v>
      </c>
      <c r="D25" s="21">
        <v>6.0</v>
      </c>
      <c r="E25" s="23">
        <f t="shared" si="7"/>
        <v>426</v>
      </c>
      <c r="F25" s="24">
        <v>187.0</v>
      </c>
      <c r="G25" s="23">
        <f t="shared" si="8"/>
        <v>112200</v>
      </c>
      <c r="H25" s="25">
        <f t="shared" si="9"/>
        <v>0.003796791444</v>
      </c>
      <c r="I25" s="25">
        <f t="shared" si="10"/>
        <v>0.1974331551</v>
      </c>
    </row>
    <row r="26">
      <c r="A26" s="21" t="s">
        <v>65</v>
      </c>
      <c r="B26" s="22">
        <v>0.21</v>
      </c>
      <c r="C26" s="23">
        <f t="shared" si="6"/>
        <v>21</v>
      </c>
      <c r="D26" s="21">
        <v>2.0</v>
      </c>
      <c r="E26" s="23">
        <f t="shared" si="7"/>
        <v>42</v>
      </c>
      <c r="F26" s="24">
        <v>58.0</v>
      </c>
      <c r="G26" s="23">
        <f t="shared" si="8"/>
        <v>11600</v>
      </c>
      <c r="H26" s="25">
        <f t="shared" si="9"/>
        <v>0.003620689655</v>
      </c>
      <c r="I26" s="25">
        <f t="shared" si="10"/>
        <v>0.1882758621</v>
      </c>
    </row>
    <row r="27">
      <c r="A27" s="21" t="s">
        <v>69</v>
      </c>
      <c r="B27" s="22">
        <v>0.43</v>
      </c>
      <c r="C27" s="23">
        <f t="shared" si="6"/>
        <v>43</v>
      </c>
      <c r="D27" s="21">
        <v>1.0</v>
      </c>
      <c r="E27" s="23">
        <f t="shared" si="7"/>
        <v>43</v>
      </c>
      <c r="F27" s="24">
        <v>270.0</v>
      </c>
      <c r="G27" s="23">
        <f t="shared" si="8"/>
        <v>27000</v>
      </c>
      <c r="H27" s="25">
        <f t="shared" si="9"/>
        <v>0.001592592593</v>
      </c>
      <c r="I27" s="25">
        <f t="shared" si="10"/>
        <v>0.08281481481</v>
      </c>
    </row>
    <row r="28">
      <c r="A28" s="21" t="s">
        <v>74</v>
      </c>
      <c r="B28" s="22">
        <v>1.96</v>
      </c>
      <c r="C28" s="23">
        <f t="shared" si="6"/>
        <v>196</v>
      </c>
      <c r="D28" s="21">
        <v>1.0</v>
      </c>
      <c r="E28" s="23">
        <f t="shared" si="7"/>
        <v>196</v>
      </c>
      <c r="F28" s="24">
        <v>300.0</v>
      </c>
      <c r="G28" s="23">
        <f t="shared" si="8"/>
        <v>30000</v>
      </c>
      <c r="H28" s="25">
        <f t="shared" si="9"/>
        <v>0.006533333333</v>
      </c>
      <c r="I28" s="25">
        <f t="shared" si="10"/>
        <v>0.3397333333</v>
      </c>
    </row>
    <row r="29">
      <c r="A29" s="26" t="s">
        <v>72</v>
      </c>
      <c r="B29" s="27"/>
      <c r="C29" s="27"/>
      <c r="D29" s="27"/>
      <c r="E29" s="28">
        <f>SUM(E24:E28)</f>
        <v>2207</v>
      </c>
      <c r="F29" s="27"/>
      <c r="G29" s="28">
        <f>SUM(G24:G28)</f>
        <v>449600</v>
      </c>
      <c r="H29" s="29">
        <f t="shared" si="9"/>
        <v>0.004908807829</v>
      </c>
      <c r="I29" s="29">
        <f t="shared" si="10"/>
        <v>0.2552580071</v>
      </c>
    </row>
  </sheetData>
  <autoFilter ref="$A$2:$I$16">
    <sortState ref="A2:I16">
      <sortCondition descending="1" ref="I2:I16"/>
      <sortCondition descending="1" ref="D2:D16"/>
    </sortState>
  </autoFilter>
  <mergeCells count="2">
    <mergeCell ref="A1:I1"/>
    <mergeCell ref="A22:I22"/>
  </mergeCells>
  <drawing r:id="rId1"/>
</worksheet>
</file>